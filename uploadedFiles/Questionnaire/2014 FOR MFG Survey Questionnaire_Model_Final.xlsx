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standard\deborah\forMfg\"/>
    </mc:Choice>
  </mc:AlternateContent>
  <bookViews>
    <workbookView xWindow="0" yWindow="0" windowWidth="20490" windowHeight="7905"/>
  </bookViews>
  <sheets>
    <sheet name="surveyQuestion" sheetId="1" r:id="rId1"/>
    <sheet name="Sheet1" sheetId="4" r:id="rId2"/>
    <sheet name="Sheet2" sheetId="2" r:id="rId3"/>
    <sheet name="note" sheetId="3" r:id="rId4"/>
  </sheets>
  <definedNames>
    <definedName name="_xlnm._FilterDatabase" localSheetId="0" hidden="1">surveyQuestion!$A$1:$Z$46</definedName>
    <definedName name="customs" localSheetId="0">surveyQuestion!#REF!</definedName>
    <definedName name="Excel_BuiltIn__FilterDatabase_1">surveyQuestion!$A$1:$J$1</definedName>
    <definedName name="highway" localSheetId="0">surveyQuestion!#REF!</definedName>
    <definedName name="marine" localSheetId="0">surveyQuestion!#REF!</definedName>
    <definedName name="rail" localSheetId="0">surveyQuestion!#REF!</definedName>
    <definedName name="SKIP_Y">Sheet1!$A$1:$A$16</definedName>
  </definedNames>
  <calcPr calcId="152511"/>
</workbook>
</file>

<file path=xl/calcChain.xml><?xml version="1.0" encoding="utf-8"?>
<calcChain xmlns="http://schemas.openxmlformats.org/spreadsheetml/2006/main">
  <c r="J3" i="1" l="1"/>
  <c r="K3" i="1"/>
  <c r="K46" i="1"/>
  <c r="J46" i="1"/>
  <c r="K45" i="1"/>
  <c r="J45" i="1"/>
  <c r="K44" i="1"/>
  <c r="J44" i="1"/>
  <c r="K43" i="1"/>
  <c r="J43" i="1"/>
  <c r="K42" i="1"/>
  <c r="J42" i="1"/>
  <c r="K41" i="1"/>
  <c r="J41" i="1"/>
  <c r="K40" i="1"/>
  <c r="J40" i="1"/>
  <c r="K39" i="1"/>
  <c r="J39" i="1"/>
  <c r="K38" i="1"/>
  <c r="J38" i="1"/>
  <c r="J37" i="1" l="1"/>
  <c r="K37" i="1"/>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2" i="1"/>
  <c r="K2" i="1"/>
</calcChain>
</file>

<file path=xl/sharedStrings.xml><?xml version="1.0" encoding="utf-8"?>
<sst xmlns="http://schemas.openxmlformats.org/spreadsheetml/2006/main" count="511" uniqueCount="158">
  <si>
    <t>Page</t>
  </si>
  <si>
    <t>Surveyset</t>
  </si>
  <si>
    <t>Survey</t>
  </si>
  <si>
    <t>Question</t>
  </si>
  <si>
    <t>Response</t>
  </si>
  <si>
    <t>Title</t>
  </si>
  <si>
    <t>Required</t>
  </si>
  <si>
    <t>Length</t>
  </si>
  <si>
    <t>titleLength</t>
  </si>
  <si>
    <t>yValue</t>
  </si>
  <si>
    <t>nValue</t>
  </si>
  <si>
    <t>naValue</t>
  </si>
  <si>
    <t>otherValue</t>
  </si>
  <si>
    <t>qWeight</t>
  </si>
  <si>
    <t>QID</t>
  </si>
  <si>
    <t>skipLogic</t>
  </si>
  <si>
    <t>skipLogicAnswer</t>
  </si>
  <si>
    <t>skipLogicJump</t>
  </si>
  <si>
    <t>Column</t>
  </si>
  <si>
    <t>Comment Type</t>
  </si>
  <si>
    <t xml:space="preserve"> 4 display both text and upload  on yes button text box required</t>
  </si>
  <si>
    <t>1 display only text box  on yes button required</t>
  </si>
  <si>
    <t>Comment</t>
  </si>
  <si>
    <t>CommentType</t>
  </si>
  <si>
    <t>snipOffQuestionnaire</t>
  </si>
  <si>
    <t>spinoffid</t>
  </si>
  <si>
    <t>emailalert</t>
  </si>
  <si>
    <t>emailalertlist</t>
  </si>
  <si>
    <t>CommentBoxMessageText</t>
  </si>
  <si>
    <t>UploadMessageText</t>
  </si>
  <si>
    <t>Are FCL or FTL shipments moved across an international border?</t>
  </si>
  <si>
    <t>Are people sorting mail and receiving incoming packages trained in suspicious package recognition?</t>
  </si>
  <si>
    <t>Is a log registering the driver’s name, tractor and associated trailer maintained for all containers loaded with Honeywell cargo departing the facility?</t>
  </si>
  <si>
    <t>Is security and threat awareness training in place and provided to all employees on a consistent, periodic basis?</t>
  </si>
  <si>
    <t>Y/N</t>
  </si>
  <si>
    <t>CCTV</t>
  </si>
  <si>
    <t>Y</t>
  </si>
  <si>
    <t>N</t>
  </si>
  <si>
    <t>Is your company a member of Customs – Trade Partnership Against Terrorism (C-TPAT)?</t>
  </si>
  <si>
    <t>Please provide your company SVI number.</t>
  </si>
  <si>
    <t>Is your company a certified member of any other WCO (World Customs Organization) supply chain security program?</t>
  </si>
  <si>
    <t>Please identify your WCO sanctioned supply chain security program that your company is certified under.</t>
  </si>
  <si>
    <t>Does your company have written and verifiable processes for the selection of business partners including manufacturers, product suppliers and vendors?</t>
  </si>
  <si>
    <t>For those business partners eligible for C-TPAT or equivalent World Customs Organization (WCO) security program certification (carriers, importers, ports, terminals, brokers, consolidators, etc.) does documentation exist (e.g., C-TPAT certificate, SVI number, etc.) indicating whether these business partners are or are not C-TPAT certified?</t>
  </si>
  <si>
    <t>For those business partners not eligible for C-TPAT certification, does your company require your business partners to demonstrate that they are meeting C-TPAT or equivalent WCO security program security criteria via written/electronic confirmation? (e.g., contractual obligations; via a letter from a senior business partner officer attesting to compliance; a written statement from the business partner demonstrating their compliance with C-TPAT security criteria or an equivalent WCO accredited security program administered by a foreign customs authority; or, by providing a completed security questionnaire)?</t>
  </si>
  <si>
    <t>Are non-C-TPAT eligible business partners subject to verification of compliance with C-TPAT security criteria by the company based upon a documented risk assessment process?</t>
  </si>
  <si>
    <t>Does your company ship full sea containers (FCL) or full truck loads (FTL)?</t>
  </si>
  <si>
    <t>Does your site have written and verifiable procedures for verifying the integrity of containers prior to loading/stuffing?</t>
  </si>
  <si>
    <t>Does your site have written and verifiable procedures for the management and application of PAS ISO 17712 high security seals, which includes methods of ensuring the integrity of the seals and a tracking mechanism to ensure that all seals are accounted for?</t>
  </si>
  <si>
    <t>Does your company store sea containers or trailers overnight at the facility?</t>
  </si>
  <si>
    <t>Are containers stored in a secured area which prevents access by unauthorized personnel?</t>
  </si>
  <si>
    <t>Does your company have written and verifiable procedures for securely storing sea containers and trailers overnight?</t>
  </si>
  <si>
    <t>Does your company have a policy that addresses procedures for recognizing and reporting compromised seals and/or containers/trailers to US Customs and Border Protection or the appropriate foreign authority?</t>
  </si>
  <si>
    <t>Does your company have strict access control processes in place to control the movement of employees, contractors, vendors and visitors into and out of the facility?</t>
  </si>
  <si>
    <t>Does your company issue a picture badge to employees and permanent site contractors?</t>
  </si>
  <si>
    <t>Does your company have written and verifiable process for fabricating and issuing permanent site picture badges?</t>
  </si>
  <si>
    <t>Does your company issue visitor badges and escort visitors while they are inside of the facility?</t>
  </si>
  <si>
    <t>Does your company have written and verifiable processes for visitor management?</t>
  </si>
  <si>
    <t>Does your company have written and verifiable processes in place to challenge unauthorized and/or unidentified personnel?</t>
  </si>
  <si>
    <t>Does your company perform periodic suspicious package screening for incoming mail and packages?</t>
  </si>
  <si>
    <t>Does your company post suspicious package profile posters where mail and incoming packages are received and sorted?</t>
  </si>
  <si>
    <t>Does your company have written and verifiable processes for suspicious package screening?</t>
  </si>
  <si>
    <t>Are procedures in place to screen potential employees and perform background checks as allowed by law?</t>
  </si>
  <si>
    <t>Is application information, such as employment history and references verified prior to employment?</t>
  </si>
  <si>
    <t>Are employees in security sensitive positions re-screened periodically?</t>
  </si>
  <si>
    <t>Does your company have written and verifiable procedures for shipping, receiving and discrepancy management?</t>
  </si>
  <si>
    <t>Does your company have perimeter fencing and fencing segregating the shipping and receiving areas?</t>
  </si>
  <si>
    <t>Does your company conduct and document fencing inspections on a monthly or more frequent basis?</t>
  </si>
  <si>
    <t>Does your company have written and verifiable procedures for performing fencing inspections?</t>
  </si>
  <si>
    <t>Does your company have written and verifiable processes for conducting facility inspections?</t>
  </si>
  <si>
    <t>Does your company have a program to control accountable (door and perimeter locks and keys) keys and locking cores?</t>
  </si>
  <si>
    <t>Does your company have a database or paperwork that can identify the key to the door to the employee who it has been checked out to?</t>
  </si>
  <si>
    <t>Does your company have written and verifiable processes for site key and locking core management?</t>
  </si>
  <si>
    <t>Does your company have written and verifiable procedures for the inspection of exterior facility lighting?</t>
  </si>
  <si>
    <t>Does your company have a CCTV system?</t>
  </si>
  <si>
    <t>Does your company have written and verifiable comprehensive procedures for the use, assessment and maintenance of the CCTV system?</t>
  </si>
  <si>
    <t>Does your company have an Emergency Exit and/or Roll-up door alarm system?</t>
  </si>
  <si>
    <t>Does your company have written and verifiable comprehensive procedures for the use, assessment and maintenance of the alarm system?</t>
  </si>
  <si>
    <t>Does your company have written and verifiable activated alarm response procedures?</t>
  </si>
  <si>
    <t>Does your company have an access control system?</t>
  </si>
  <si>
    <t>Does your company have written and verifiable comprehensive procedures for the use, assessment and maintenance of the access control system?</t>
  </si>
  <si>
    <t>2014 FOR MFG</t>
  </si>
  <si>
    <t>SKIP_Y</t>
  </si>
  <si>
    <t>YN_COMMENT_Y</t>
  </si>
  <si>
    <t>C-TPAT Member</t>
  </si>
  <si>
    <t>WCO Member</t>
  </si>
  <si>
    <t>Business Partner Selection</t>
  </si>
  <si>
    <t>Shipping</t>
  </si>
  <si>
    <t>Storage of FCLs or FTLs</t>
  </si>
  <si>
    <t>Facility Access Control</t>
  </si>
  <si>
    <t>Visitor Facility Access Control</t>
  </si>
  <si>
    <t>Package Screening</t>
  </si>
  <si>
    <t>Employee Verification</t>
  </si>
  <si>
    <t>Driver Log</t>
  </si>
  <si>
    <t>Threat Awareness</t>
  </si>
  <si>
    <t>Facility Barrier Control</t>
  </si>
  <si>
    <t>Facility Inspections</t>
  </si>
  <si>
    <t>Facility Log and Key Control</t>
  </si>
  <si>
    <t>Facility Lighting</t>
  </si>
  <si>
    <t>Closed Circuit Television</t>
  </si>
  <si>
    <t>Emergency Exit</t>
  </si>
  <si>
    <t xml:space="preserve">Facility Alarm System </t>
  </si>
  <si>
    <t>Facility Access Control System</t>
  </si>
  <si>
    <t>C-TPAT?</t>
  </si>
  <si>
    <t>WCO?</t>
  </si>
  <si>
    <t>Partner Selection</t>
  </si>
  <si>
    <t>Document C-TPAT</t>
  </si>
  <si>
    <t>Document Non-C-TPAT</t>
  </si>
  <si>
    <t>Non C-TPAT Compliance</t>
  </si>
  <si>
    <t>FCL or FTL</t>
  </si>
  <si>
    <t>Container Integrity</t>
  </si>
  <si>
    <t>Across Border</t>
  </si>
  <si>
    <t>Seal Procedure</t>
  </si>
  <si>
    <t>Overnight Store</t>
  </si>
  <si>
    <t>Stored Secure</t>
  </si>
  <si>
    <t>Store Procedures</t>
  </si>
  <si>
    <t>Compromised Seals</t>
  </si>
  <si>
    <t>Access Control</t>
  </si>
  <si>
    <t>Employee ID</t>
  </si>
  <si>
    <t>ID Procedures</t>
  </si>
  <si>
    <t>Visitor IDs</t>
  </si>
  <si>
    <t>Visitor Mgmt</t>
  </si>
  <si>
    <t>Unauthorized Personnel</t>
  </si>
  <si>
    <t>Pkg Screening</t>
  </si>
  <si>
    <t>Pkg Profile</t>
  </si>
  <si>
    <t>Process Pkg Screening</t>
  </si>
  <si>
    <t>Pkg Training</t>
  </si>
  <si>
    <t>Screen Employee</t>
  </si>
  <si>
    <t>References Verified</t>
  </si>
  <si>
    <t>Re-Screen Employees</t>
  </si>
  <si>
    <t>Mail Mgmt Process</t>
  </si>
  <si>
    <t>Awareness Training</t>
  </si>
  <si>
    <t>Perimeter Fence</t>
  </si>
  <si>
    <t>Fence Inspection</t>
  </si>
  <si>
    <t>Fence Procedure</t>
  </si>
  <si>
    <t>Facility Inspection</t>
  </si>
  <si>
    <t>Key Program</t>
  </si>
  <si>
    <t>Key Log</t>
  </si>
  <si>
    <t>Key Management</t>
  </si>
  <si>
    <t>Exterior Lighting</t>
  </si>
  <si>
    <t>CCTV Procedures</t>
  </si>
  <si>
    <t>Alarm Maintenance</t>
  </si>
  <si>
    <t>Alarm Response</t>
  </si>
  <si>
    <t>Access Control Sys</t>
  </si>
  <si>
    <t>Access Control Maint.</t>
  </si>
  <si>
    <t>1001= 1&amp;1001=1:1001;</t>
  </si>
  <si>
    <t>1002=1&amp;1002=1:1002;</t>
  </si>
  <si>
    <t>1044=0&amp;1044=0:1044;</t>
  </si>
  <si>
    <t>1007=0&amp;1007=0:1011;</t>
  </si>
  <si>
    <t>1009=0&amp;1009=0:1011;</t>
  </si>
  <si>
    <t>1011=0&amp;1011=0:1014;</t>
  </si>
  <si>
    <t>1016=0&amp;1016=0:1018;</t>
  </si>
  <si>
    <t>1018=0&amp;1018=0:1020;</t>
  </si>
  <si>
    <t>1021=0&amp;1021=0:1025;</t>
  </si>
  <si>
    <t>1031=0&amp;1031=0:1034;</t>
  </si>
  <si>
    <t>1035=0&amp;1035=0:1038;</t>
  </si>
  <si>
    <t>1039=0&amp;1039=0:1041;</t>
  </si>
  <si>
    <t>1041=0&amp;1041=0:1044;</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</si>
</sst>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0"/>
      <name val="宋体"/>
      <family val="2"/>
      <charset val="134"/>
    </font>
    <font>
      <sz val="10"/>
      <name val="Arial"/>
      <family val="2"/>
      <charset val="134"/>
    </font>
    <font>
      <b/>
      <sz val="10"/>
      <name val="Arial"/>
      <family val="2"/>
    </font>
    <font>
      <sz val="10"/>
      <name val="Arial"/>
      <family val="2"/>
    </font>
    <font>
      <sz val="10"/>
      <color rgb="FFFF0000"/>
      <name val="Arial"/>
      <family val="2"/>
    </font>
    <font>
      <sz val="9"/>
      <name val="Arial"/>
      <family val="2"/>
    </font>
    <font>
      <sz val="10"/>
      <color rgb="FFFF0000"/>
      <name val="Arial"/>
      <family val="2"/>
      <charset val="134"/>
    </font>
    <font>
      <sz val="10"/>
      <name val="Times New Roman"/>
      <family val="1"/>
    </font>
  </fonts>
  <fills count="7">
    <fill>
      <patternFill patternType="none"/>
    </fill>
    <fill>
      <patternFill patternType="gray125"/>
    </fill>
    <fill>
      <patternFill patternType="solid">
        <fgColor indexed="13"/>
        <bgColor indexed="64"/>
      </patternFill>
    </fill>
    <fill>
      <patternFill patternType="solid">
        <fgColor indexed="13"/>
        <bgColor indexed="34"/>
      </patternFill>
    </fill>
    <fill>
      <patternFill patternType="solid">
        <fgColor theme="6"/>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1" fillId="0" borderId="0" xfId="0" applyFont="1"/>
    <xf numFmtId="0" fontId="2" fillId="0" borderId="0" xfId="0" applyFont="1"/>
    <xf numFmtId="0" fontId="3" fillId="0" borderId="0" xfId="0" applyFont="1" applyFill="1" applyAlignment="1"/>
    <xf numFmtId="0" fontId="5" fillId="0" borderId="2" xfId="0" applyFont="1" applyFill="1" applyBorder="1" applyAlignment="1">
      <alignment horizontal="left" vertical="center" wrapText="1"/>
    </xf>
    <xf numFmtId="0" fontId="2" fillId="2" borderId="0" xfId="0" applyFont="1" applyFill="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2" fillId="2" borderId="0" xfId="0" applyFont="1" applyFill="1" applyAlignment="1">
      <alignment horizontal="left" vertical="center" wrapText="1"/>
    </xf>
    <xf numFmtId="0" fontId="1" fillId="0" borderId="0" xfId="0" applyFont="1" applyAlignment="1">
      <alignment horizontal="left" vertical="center"/>
    </xf>
    <xf numFmtId="0" fontId="3" fillId="0" borderId="0" xfId="0" applyFont="1" applyAlignment="1">
      <alignment horizontal="left" vertical="center"/>
    </xf>
    <xf numFmtId="0" fontId="3" fillId="0" borderId="0" xfId="0" applyFont="1" applyFill="1" applyAlignment="1">
      <alignment horizontal="left" vertical="center"/>
    </xf>
    <xf numFmtId="0" fontId="3" fillId="0" borderId="0" xfId="0" applyFont="1" applyBorder="1" applyAlignment="1">
      <alignment horizontal="left" vertical="center"/>
    </xf>
    <xf numFmtId="0" fontId="3" fillId="0" borderId="0" xfId="0" applyFont="1" applyAlignment="1">
      <alignment horizontal="left" vertical="center" wrapText="1"/>
    </xf>
    <xf numFmtId="0" fontId="3" fillId="4" borderId="0" xfId="0" applyFont="1" applyFill="1" applyAlignment="1">
      <alignment horizontal="left" vertical="center"/>
    </xf>
    <xf numFmtId="0" fontId="3" fillId="0" borderId="0" xfId="0" applyFont="1" applyBorder="1" applyAlignment="1">
      <alignment horizontal="left" vertical="center" wrapText="1"/>
    </xf>
    <xf numFmtId="0" fontId="2" fillId="2" borderId="0" xfId="0" applyFont="1" applyFill="1" applyAlignment="1">
      <alignment horizontal="left" vertical="top" wrapText="1"/>
    </xf>
    <xf numFmtId="0" fontId="2" fillId="2" borderId="0" xfId="0" applyFont="1" applyFill="1" applyAlignment="1">
      <alignment horizontal="left" vertical="top"/>
    </xf>
    <xf numFmtId="0" fontId="5" fillId="5" borderId="2" xfId="0" applyFont="1" applyFill="1" applyBorder="1" applyAlignment="1">
      <alignment horizontal="left" vertical="center" wrapText="1"/>
    </xf>
    <xf numFmtId="0" fontId="1" fillId="6" borderId="0" xfId="0" applyFont="1" applyFill="1" applyAlignment="1">
      <alignment horizontal="left" vertical="center"/>
    </xf>
    <xf numFmtId="0" fontId="1" fillId="5" borderId="0" xfId="0" applyFont="1" applyFill="1" applyAlignment="1">
      <alignment horizontal="left" vertical="center"/>
    </xf>
    <xf numFmtId="0" fontId="4" fillId="0" borderId="0" xfId="0" applyFont="1" applyFill="1" applyAlignment="1">
      <alignment horizontal="left" vertical="center"/>
    </xf>
    <xf numFmtId="0" fontId="4" fillId="0" borderId="0" xfId="0" applyNumberFormat="1" applyFont="1" applyFill="1" applyBorder="1" applyAlignment="1">
      <alignment horizontal="left" vertical="center"/>
    </xf>
    <xf numFmtId="0" fontId="3" fillId="0" borderId="0" xfId="0" applyNumberFormat="1" applyFont="1" applyFill="1" applyBorder="1" applyAlignment="1">
      <alignment horizontal="left" vertical="center"/>
    </xf>
    <xf numFmtId="0" fontId="5" fillId="0" borderId="1" xfId="0" applyFont="1" applyFill="1" applyBorder="1" applyAlignment="1">
      <alignment horizontal="left" vertical="center" wrapText="1"/>
    </xf>
    <xf numFmtId="0" fontId="3" fillId="0" borderId="0" xfId="0" applyFont="1" applyAlignment="1">
      <alignment horizontal="center"/>
    </xf>
    <xf numFmtId="0" fontId="6" fillId="0" borderId="0" xfId="0" applyFont="1" applyAlignment="1">
      <alignment horizontal="left" vertical="center"/>
    </xf>
    <xf numFmtId="0" fontId="2" fillId="0" borderId="0" xfId="0" applyFont="1" applyAlignment="1">
      <alignment horizontal="left" vertical="center" wrapText="1"/>
    </xf>
    <xf numFmtId="0" fontId="3" fillId="0" borderId="0" xfId="0" applyNumberFormat="1" applyFont="1" applyFill="1" applyBorder="1" applyAlignment="1">
      <alignment horizontal="left" vertical="center" wrapText="1"/>
    </xf>
    <xf numFmtId="0" fontId="3" fillId="0" borderId="0" xfId="0" applyFont="1"/>
    <xf numFmtId="0" fontId="7" fillId="0" borderId="0" xfId="0" applyFont="1" applyBorder="1" applyAlignment="1">
      <alignment horizontal="left" vertical="center" wrapText="1"/>
    </xf>
    <xf numFmtId="0" fontId="2" fillId="0" borderId="0" xfId="0" applyFont="1" applyBorder="1" applyAlignment="1">
      <alignment horizontal="left" vertical="center" wrapText="1"/>
    </xf>
  </cellXfs>
  <cellStyles count="1">
    <cellStyle name="Normal" xfId="0" builtinId="0"/>
  </cellStyles>
  <dxfs count="3">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
  <sheetViews>
    <sheetView tabSelected="1" zoomScaleNormal="100" workbookViewId="0">
      <pane xSplit="5" ySplit="1" topLeftCell="P5" activePane="bottomRight" state="frozen"/>
      <selection pane="topRight" activeCell="F1" sqref="F1"/>
      <selection pane="bottomLeft" activeCell="A2" sqref="A2"/>
      <selection pane="bottomRight" activeCell="S46" sqref="S46"/>
    </sheetView>
  </sheetViews>
  <sheetFormatPr defaultColWidth="10.28515625" defaultRowHeight="12.75"/>
  <cols>
    <col min="1" max="1" width="6.5703125" style="9" bestFit="1" customWidth="1"/>
    <col min="2" max="2" width="8.5703125" style="9" bestFit="1" customWidth="1"/>
    <col min="3" max="3" width="28.42578125" style="14" bestFit="1" customWidth="1"/>
    <col min="4" max="4" width="16.85546875" style="11" customWidth="1"/>
    <col min="5" max="5" width="29.85546875" style="14" customWidth="1"/>
    <col min="6" max="6" width="14.5703125" style="11" customWidth="1"/>
    <col min="7" max="7" width="12" style="11" customWidth="1"/>
    <col min="8" max="8" width="12.5703125" style="12" customWidth="1"/>
    <col min="9" max="9" width="11.5703125" style="9" customWidth="1"/>
    <col min="10" max="10" width="9.5703125" style="9" customWidth="1"/>
    <col min="11" max="11" width="13" style="9" customWidth="1"/>
    <col min="12" max="12" width="9.5703125" style="9" customWidth="1"/>
    <col min="13" max="13" width="9.7109375" style="9" customWidth="1"/>
    <col min="14" max="14" width="10.85546875" style="9" customWidth="1"/>
    <col min="15" max="15" width="13.28515625" style="9" customWidth="1"/>
    <col min="16" max="16" width="10.85546875" style="9" customWidth="1"/>
    <col min="17" max="17" width="11.85546875" style="9" customWidth="1"/>
    <col min="18" max="18" width="18.7109375" style="9" customWidth="1"/>
    <col min="19" max="19" width="20" style="9" bestFit="1" customWidth="1"/>
    <col min="20" max="20" width="29.140625" style="9" bestFit="1" customWidth="1"/>
    <col min="21" max="21" width="24.28515625" style="9" bestFit="1" customWidth="1"/>
    <col min="22" max="22" width="16.5703125" style="9" bestFit="1" customWidth="1"/>
    <col min="23" max="23" width="10.28515625" style="9"/>
    <col min="24" max="24" width="11" style="9" bestFit="1" customWidth="1"/>
    <col min="25" max="16384" width="10.28515625" style="9"/>
  </cols>
  <sheetData>
    <row r="1" spans="1:26">
      <c r="A1" s="4" t="s">
        <v>14</v>
      </c>
      <c r="B1" s="5" t="s">
        <v>0</v>
      </c>
      <c r="C1" s="6" t="s">
        <v>1</v>
      </c>
      <c r="D1" s="5" t="s">
        <v>2</v>
      </c>
      <c r="E1" s="7" t="s">
        <v>3</v>
      </c>
      <c r="F1" s="4" t="s">
        <v>4</v>
      </c>
      <c r="G1" s="4" t="s">
        <v>22</v>
      </c>
      <c r="H1" s="5" t="s">
        <v>5</v>
      </c>
      <c r="I1" s="5" t="s">
        <v>6</v>
      </c>
      <c r="J1" s="5" t="s">
        <v>7</v>
      </c>
      <c r="K1" s="5" t="s">
        <v>8</v>
      </c>
      <c r="L1" s="5" t="s">
        <v>9</v>
      </c>
      <c r="M1" s="5" t="s">
        <v>10</v>
      </c>
      <c r="N1" s="5" t="s">
        <v>11</v>
      </c>
      <c r="O1" s="5" t="s">
        <v>12</v>
      </c>
      <c r="P1" s="5" t="s">
        <v>13</v>
      </c>
      <c r="Q1" s="5" t="s">
        <v>15</v>
      </c>
      <c r="R1" s="4" t="s">
        <v>16</v>
      </c>
      <c r="S1" s="4" t="s">
        <v>17</v>
      </c>
      <c r="T1" s="15" t="s">
        <v>28</v>
      </c>
      <c r="U1" s="15" t="s">
        <v>29</v>
      </c>
      <c r="V1" s="4" t="s">
        <v>23</v>
      </c>
      <c r="W1" s="16" t="s">
        <v>24</v>
      </c>
      <c r="X1" s="4" t="s">
        <v>25</v>
      </c>
      <c r="Y1" s="18" t="s">
        <v>26</v>
      </c>
      <c r="Z1" s="18" t="s">
        <v>27</v>
      </c>
    </row>
    <row r="2" spans="1:26" ht="36">
      <c r="A2" s="10">
        <v>1001</v>
      </c>
      <c r="B2" s="9">
        <v>1</v>
      </c>
      <c r="C2" s="26" t="s">
        <v>84</v>
      </c>
      <c r="D2" s="11" t="s">
        <v>81</v>
      </c>
      <c r="E2" s="23" t="s">
        <v>38</v>
      </c>
      <c r="F2" s="14" t="s">
        <v>34</v>
      </c>
      <c r="G2" s="14" t="s">
        <v>37</v>
      </c>
      <c r="H2" s="27" t="s">
        <v>103</v>
      </c>
      <c r="I2" s="22" t="s">
        <v>36</v>
      </c>
      <c r="J2" s="22">
        <f>LEN(E2)</f>
        <v>83</v>
      </c>
      <c r="K2" s="22">
        <f t="shared" ref="K2:K46" si="0">LEN(H2)</f>
        <v>7</v>
      </c>
      <c r="L2" s="21">
        <v>1</v>
      </c>
      <c r="M2" s="21">
        <v>1</v>
      </c>
      <c r="N2" s="22">
        <v>0</v>
      </c>
      <c r="O2" s="22">
        <v>0</v>
      </c>
      <c r="P2" s="22">
        <v>1</v>
      </c>
      <c r="Q2" s="9" t="s">
        <v>36</v>
      </c>
      <c r="R2" s="9" t="s">
        <v>36</v>
      </c>
      <c r="S2" s="19" t="s">
        <v>145</v>
      </c>
      <c r="T2" s="23" t="s">
        <v>39</v>
      </c>
      <c r="U2" s="8"/>
      <c r="V2" s="28" t="s">
        <v>83</v>
      </c>
      <c r="W2" s="24" t="s">
        <v>37</v>
      </c>
      <c r="Y2" s="24" t="s">
        <v>37</v>
      </c>
    </row>
    <row r="3" spans="1:26" ht="48">
      <c r="A3" s="10">
        <v>1002</v>
      </c>
      <c r="B3" s="9">
        <v>2</v>
      </c>
      <c r="C3" s="26" t="s">
        <v>85</v>
      </c>
      <c r="D3" s="11" t="s">
        <v>81</v>
      </c>
      <c r="E3" s="23" t="s">
        <v>40</v>
      </c>
      <c r="F3" s="14" t="s">
        <v>34</v>
      </c>
      <c r="G3" s="14" t="s">
        <v>37</v>
      </c>
      <c r="H3" s="27" t="s">
        <v>104</v>
      </c>
      <c r="I3" s="22" t="s">
        <v>36</v>
      </c>
      <c r="J3" s="22">
        <f>LEN(E3)</f>
        <v>111</v>
      </c>
      <c r="K3" s="22">
        <f t="shared" si="0"/>
        <v>4</v>
      </c>
      <c r="L3" s="21">
        <v>1</v>
      </c>
      <c r="M3" s="21">
        <v>1</v>
      </c>
      <c r="N3" s="22">
        <v>0</v>
      </c>
      <c r="O3" s="22">
        <v>0</v>
      </c>
      <c r="P3" s="22">
        <v>1</v>
      </c>
      <c r="Q3" s="9" t="s">
        <v>36</v>
      </c>
      <c r="R3" s="9" t="s">
        <v>36</v>
      </c>
      <c r="S3" s="8" t="s">
        <v>146</v>
      </c>
      <c r="T3" s="23" t="s">
        <v>41</v>
      </c>
      <c r="U3" s="8"/>
      <c r="V3" s="28" t="s">
        <v>83</v>
      </c>
      <c r="W3" s="24" t="s">
        <v>37</v>
      </c>
      <c r="Y3" s="24" t="s">
        <v>37</v>
      </c>
    </row>
    <row r="4" spans="1:26" ht="60">
      <c r="A4" s="10">
        <v>1003</v>
      </c>
      <c r="B4" s="9">
        <v>3</v>
      </c>
      <c r="C4" s="26" t="s">
        <v>86</v>
      </c>
      <c r="D4" s="11" t="s">
        <v>81</v>
      </c>
      <c r="E4" s="23" t="s">
        <v>42</v>
      </c>
      <c r="F4" s="29" t="s">
        <v>34</v>
      </c>
      <c r="G4" s="14" t="s">
        <v>37</v>
      </c>
      <c r="H4" s="27" t="s">
        <v>105</v>
      </c>
      <c r="I4" s="22" t="s">
        <v>36</v>
      </c>
      <c r="J4" s="22">
        <f>LEN(T3)</f>
        <v>103</v>
      </c>
      <c r="K4" s="22">
        <f t="shared" si="0"/>
        <v>17</v>
      </c>
      <c r="L4" s="21">
        <v>1</v>
      </c>
      <c r="M4" s="21">
        <v>0</v>
      </c>
      <c r="N4" s="22">
        <v>0</v>
      </c>
      <c r="O4" s="22">
        <v>0</v>
      </c>
      <c r="P4" s="22">
        <v>1</v>
      </c>
      <c r="Q4" s="9" t="s">
        <v>37</v>
      </c>
      <c r="S4" s="8"/>
      <c r="T4" s="8"/>
      <c r="U4" s="8"/>
      <c r="W4" s="24" t="s">
        <v>37</v>
      </c>
      <c r="Y4" s="24" t="s">
        <v>37</v>
      </c>
    </row>
    <row r="5" spans="1:26" ht="132">
      <c r="A5" s="10">
        <v>1004</v>
      </c>
      <c r="B5" s="9">
        <v>3</v>
      </c>
      <c r="C5" s="26" t="s">
        <v>86</v>
      </c>
      <c r="D5" s="11" t="s">
        <v>81</v>
      </c>
      <c r="E5" s="23" t="s">
        <v>43</v>
      </c>
      <c r="F5" s="14" t="s">
        <v>34</v>
      </c>
      <c r="G5" s="14" t="s">
        <v>37</v>
      </c>
      <c r="H5" s="27" t="s">
        <v>106</v>
      </c>
      <c r="I5" s="22" t="s">
        <v>36</v>
      </c>
      <c r="J5" s="22">
        <f t="shared" ref="J5:J46" si="1">LEN(E4)</f>
        <v>150</v>
      </c>
      <c r="K5" s="22">
        <f t="shared" si="0"/>
        <v>15</v>
      </c>
      <c r="L5" s="21">
        <v>1</v>
      </c>
      <c r="M5" s="21">
        <v>0</v>
      </c>
      <c r="N5" s="22">
        <v>0</v>
      </c>
      <c r="O5" s="22">
        <v>0</v>
      </c>
      <c r="P5" s="22">
        <v>1</v>
      </c>
      <c r="Q5" s="9" t="s">
        <v>37</v>
      </c>
      <c r="S5" s="25"/>
      <c r="T5" s="8"/>
      <c r="U5" s="8"/>
      <c r="W5" s="24" t="s">
        <v>37</v>
      </c>
      <c r="Y5" s="24" t="s">
        <v>37</v>
      </c>
    </row>
    <row r="6" spans="1:26" ht="228">
      <c r="A6" s="10">
        <v>1005</v>
      </c>
      <c r="B6" s="9">
        <v>3</v>
      </c>
      <c r="C6" s="26" t="s">
        <v>86</v>
      </c>
      <c r="D6" s="11" t="s">
        <v>81</v>
      </c>
      <c r="E6" s="23" t="s">
        <v>44</v>
      </c>
      <c r="F6" s="14" t="s">
        <v>34</v>
      </c>
      <c r="G6" s="14" t="s">
        <v>37</v>
      </c>
      <c r="H6" s="27" t="s">
        <v>107</v>
      </c>
      <c r="I6" s="22" t="s">
        <v>36</v>
      </c>
      <c r="J6" s="22">
        <f t="shared" si="1"/>
        <v>341</v>
      </c>
      <c r="K6" s="22">
        <f t="shared" si="0"/>
        <v>19</v>
      </c>
      <c r="L6" s="21">
        <v>1</v>
      </c>
      <c r="M6" s="21">
        <v>0</v>
      </c>
      <c r="N6" s="22">
        <v>0</v>
      </c>
      <c r="O6" s="22">
        <v>0</v>
      </c>
      <c r="P6" s="22">
        <v>1</v>
      </c>
      <c r="Q6" s="9" t="s">
        <v>37</v>
      </c>
      <c r="S6" s="25"/>
      <c r="W6" s="24" t="s">
        <v>37</v>
      </c>
      <c r="Y6" s="24" t="s">
        <v>37</v>
      </c>
    </row>
    <row r="7" spans="1:26" ht="72">
      <c r="A7" s="10">
        <v>1006</v>
      </c>
      <c r="B7" s="9">
        <v>3</v>
      </c>
      <c r="C7" s="26" t="s">
        <v>86</v>
      </c>
      <c r="D7" s="11" t="s">
        <v>81</v>
      </c>
      <c r="E7" s="23" t="s">
        <v>45</v>
      </c>
      <c r="F7" s="14" t="s">
        <v>34</v>
      </c>
      <c r="G7" s="14" t="s">
        <v>37</v>
      </c>
      <c r="H7" s="27" t="s">
        <v>108</v>
      </c>
      <c r="I7" s="22" t="s">
        <v>36</v>
      </c>
      <c r="J7" s="22">
        <f t="shared" si="1"/>
        <v>613</v>
      </c>
      <c r="K7" s="22">
        <f t="shared" si="0"/>
        <v>21</v>
      </c>
      <c r="L7" s="21">
        <v>0</v>
      </c>
      <c r="M7" s="21">
        <v>1</v>
      </c>
      <c r="N7" s="22">
        <v>0</v>
      </c>
      <c r="O7" s="22">
        <v>0</v>
      </c>
      <c r="P7" s="22">
        <v>1</v>
      </c>
      <c r="Q7" s="9" t="s">
        <v>37</v>
      </c>
      <c r="S7" s="25"/>
      <c r="T7" s="8"/>
      <c r="U7" s="8"/>
      <c r="W7" s="24" t="s">
        <v>37</v>
      </c>
      <c r="Y7" s="24" t="s">
        <v>37</v>
      </c>
    </row>
    <row r="8" spans="1:26" ht="36">
      <c r="A8" s="10">
        <v>1007</v>
      </c>
      <c r="B8" s="9">
        <v>4</v>
      </c>
      <c r="C8" s="26" t="s">
        <v>87</v>
      </c>
      <c r="D8" s="11" t="s">
        <v>81</v>
      </c>
      <c r="E8" s="23" t="s">
        <v>46</v>
      </c>
      <c r="F8" s="29" t="s">
        <v>34</v>
      </c>
      <c r="G8" s="14" t="s">
        <v>37</v>
      </c>
      <c r="H8" s="27" t="s">
        <v>109</v>
      </c>
      <c r="I8" s="22" t="s">
        <v>36</v>
      </c>
      <c r="J8" s="22">
        <f t="shared" si="1"/>
        <v>173</v>
      </c>
      <c r="K8" s="22">
        <f t="shared" si="0"/>
        <v>10</v>
      </c>
      <c r="L8" s="21">
        <v>1</v>
      </c>
      <c r="M8" s="21">
        <v>0</v>
      </c>
      <c r="N8" s="22">
        <v>0</v>
      </c>
      <c r="O8" s="22">
        <v>0</v>
      </c>
      <c r="P8" s="22">
        <v>1</v>
      </c>
      <c r="Q8" s="9" t="s">
        <v>36</v>
      </c>
      <c r="R8" s="9" t="s">
        <v>37</v>
      </c>
      <c r="S8" s="25" t="s">
        <v>148</v>
      </c>
      <c r="T8" s="8"/>
      <c r="U8" s="8"/>
      <c r="W8" s="24" t="s">
        <v>37</v>
      </c>
      <c r="Y8" s="24" t="s">
        <v>37</v>
      </c>
    </row>
    <row r="9" spans="1:26" ht="48">
      <c r="A9" s="10">
        <v>1008</v>
      </c>
      <c r="B9" s="9">
        <v>5</v>
      </c>
      <c r="C9" s="26" t="s">
        <v>88</v>
      </c>
      <c r="D9" s="11" t="s">
        <v>81</v>
      </c>
      <c r="E9" s="23" t="s">
        <v>47</v>
      </c>
      <c r="F9" s="29" t="s">
        <v>34</v>
      </c>
      <c r="G9" s="14" t="s">
        <v>37</v>
      </c>
      <c r="H9" s="27" t="s">
        <v>110</v>
      </c>
      <c r="I9" s="22" t="s">
        <v>36</v>
      </c>
      <c r="J9" s="22">
        <f t="shared" si="1"/>
        <v>75</v>
      </c>
      <c r="K9" s="22">
        <f t="shared" si="0"/>
        <v>19</v>
      </c>
      <c r="L9" s="21">
        <v>1</v>
      </c>
      <c r="M9" s="21">
        <v>0</v>
      </c>
      <c r="N9" s="22">
        <v>0</v>
      </c>
      <c r="O9" s="22">
        <v>0</v>
      </c>
      <c r="P9" s="22">
        <v>1</v>
      </c>
      <c r="Q9" s="9" t="s">
        <v>37</v>
      </c>
      <c r="S9" s="25"/>
      <c r="T9" s="8"/>
      <c r="U9" s="8"/>
      <c r="W9" s="24" t="s">
        <v>37</v>
      </c>
      <c r="Y9" s="24" t="s">
        <v>37</v>
      </c>
    </row>
    <row r="10" spans="1:26" ht="25.5">
      <c r="A10" s="10">
        <v>1009</v>
      </c>
      <c r="B10" s="9">
        <v>5</v>
      </c>
      <c r="C10" s="26" t="s">
        <v>88</v>
      </c>
      <c r="D10" s="11" t="s">
        <v>81</v>
      </c>
      <c r="E10" s="23" t="s">
        <v>30</v>
      </c>
      <c r="F10" s="29" t="s">
        <v>34</v>
      </c>
      <c r="G10" s="14" t="s">
        <v>37</v>
      </c>
      <c r="H10" s="27" t="s">
        <v>111</v>
      </c>
      <c r="I10" s="22" t="s">
        <v>36</v>
      </c>
      <c r="J10" s="22">
        <f t="shared" si="1"/>
        <v>122</v>
      </c>
      <c r="K10" s="22">
        <f t="shared" si="0"/>
        <v>13</v>
      </c>
      <c r="L10" s="21">
        <v>1</v>
      </c>
      <c r="M10" s="21">
        <v>1</v>
      </c>
      <c r="N10" s="22">
        <v>0</v>
      </c>
      <c r="O10" s="22">
        <v>0</v>
      </c>
      <c r="P10" s="22">
        <v>1</v>
      </c>
      <c r="Q10" s="9" t="s">
        <v>36</v>
      </c>
      <c r="R10" s="9" t="s">
        <v>37</v>
      </c>
      <c r="S10" s="25" t="s">
        <v>149</v>
      </c>
      <c r="T10" s="8"/>
      <c r="U10" s="8"/>
      <c r="W10" s="24" t="s">
        <v>37</v>
      </c>
      <c r="Y10" s="24" t="s">
        <v>37</v>
      </c>
    </row>
    <row r="11" spans="1:26" ht="108">
      <c r="A11" s="10">
        <v>1010</v>
      </c>
      <c r="B11" s="9">
        <v>6</v>
      </c>
      <c r="C11" s="26" t="s">
        <v>88</v>
      </c>
      <c r="D11" s="11" t="s">
        <v>81</v>
      </c>
      <c r="E11" s="23" t="s">
        <v>48</v>
      </c>
      <c r="F11" s="29" t="s">
        <v>34</v>
      </c>
      <c r="G11" s="14" t="s">
        <v>37</v>
      </c>
      <c r="H11" s="27" t="s">
        <v>112</v>
      </c>
      <c r="I11" s="22" t="s">
        <v>36</v>
      </c>
      <c r="J11" s="22">
        <f t="shared" si="1"/>
        <v>62</v>
      </c>
      <c r="K11" s="22">
        <f t="shared" si="0"/>
        <v>14</v>
      </c>
      <c r="L11" s="21">
        <v>1</v>
      </c>
      <c r="M11" s="21">
        <v>0</v>
      </c>
      <c r="N11" s="22">
        <v>0</v>
      </c>
      <c r="O11" s="22">
        <v>0</v>
      </c>
      <c r="P11" s="22">
        <v>1</v>
      </c>
      <c r="Q11" s="9" t="s">
        <v>37</v>
      </c>
      <c r="S11" s="25"/>
      <c r="T11" s="8"/>
      <c r="U11" s="8"/>
      <c r="W11" s="24" t="s">
        <v>37</v>
      </c>
      <c r="Y11" s="24" t="s">
        <v>37</v>
      </c>
    </row>
    <row r="12" spans="1:26" ht="36">
      <c r="A12" s="10">
        <v>1011</v>
      </c>
      <c r="B12" s="9">
        <v>7</v>
      </c>
      <c r="C12" s="26" t="s">
        <v>88</v>
      </c>
      <c r="D12" s="11" t="s">
        <v>81</v>
      </c>
      <c r="E12" s="23" t="s">
        <v>49</v>
      </c>
      <c r="F12" s="14" t="s">
        <v>34</v>
      </c>
      <c r="G12" s="14" t="s">
        <v>37</v>
      </c>
      <c r="H12" s="27" t="s">
        <v>113</v>
      </c>
      <c r="I12" s="22" t="s">
        <v>36</v>
      </c>
      <c r="J12" s="22">
        <f t="shared" si="1"/>
        <v>257</v>
      </c>
      <c r="K12" s="22">
        <f t="shared" si="0"/>
        <v>15</v>
      </c>
      <c r="L12" s="21">
        <v>0</v>
      </c>
      <c r="M12" s="21">
        <v>1</v>
      </c>
      <c r="N12" s="22">
        <v>0</v>
      </c>
      <c r="O12" s="22">
        <v>0</v>
      </c>
      <c r="P12" s="22">
        <v>1</v>
      </c>
      <c r="Q12" s="9" t="s">
        <v>36</v>
      </c>
      <c r="R12" s="9" t="s">
        <v>37</v>
      </c>
      <c r="S12" s="25" t="s">
        <v>150</v>
      </c>
      <c r="T12" s="8"/>
      <c r="U12" s="8"/>
      <c r="W12" s="24" t="s">
        <v>37</v>
      </c>
      <c r="Y12" s="24" t="s">
        <v>37</v>
      </c>
    </row>
    <row r="13" spans="1:26" ht="36">
      <c r="A13" s="10">
        <v>1012</v>
      </c>
      <c r="B13" s="9">
        <v>8</v>
      </c>
      <c r="C13" s="26" t="s">
        <v>88</v>
      </c>
      <c r="D13" s="11" t="s">
        <v>81</v>
      </c>
      <c r="E13" s="23" t="s">
        <v>50</v>
      </c>
      <c r="F13" s="14" t="s">
        <v>34</v>
      </c>
      <c r="G13" s="14" t="s">
        <v>37</v>
      </c>
      <c r="H13" s="27" t="s">
        <v>114</v>
      </c>
      <c r="I13" s="22" t="s">
        <v>36</v>
      </c>
      <c r="J13" s="22">
        <f t="shared" si="1"/>
        <v>77</v>
      </c>
      <c r="K13" s="22">
        <f t="shared" si="0"/>
        <v>13</v>
      </c>
      <c r="L13" s="21">
        <v>1</v>
      </c>
      <c r="M13" s="21">
        <v>0</v>
      </c>
      <c r="N13" s="22">
        <v>0</v>
      </c>
      <c r="O13" s="22">
        <v>0</v>
      </c>
      <c r="P13" s="22">
        <v>1</v>
      </c>
      <c r="Q13" s="9" t="s">
        <v>37</v>
      </c>
      <c r="S13" s="25"/>
      <c r="W13" s="24" t="s">
        <v>37</v>
      </c>
      <c r="Y13" s="24" t="s">
        <v>37</v>
      </c>
    </row>
    <row r="14" spans="1:26" ht="48">
      <c r="A14" s="10">
        <v>1013</v>
      </c>
      <c r="B14" s="9">
        <v>8</v>
      </c>
      <c r="C14" s="26" t="s">
        <v>88</v>
      </c>
      <c r="D14" s="11" t="s">
        <v>81</v>
      </c>
      <c r="E14" s="23" t="s">
        <v>51</v>
      </c>
      <c r="F14" s="14" t="s">
        <v>34</v>
      </c>
      <c r="G14" s="14" t="s">
        <v>37</v>
      </c>
      <c r="H14" s="27" t="s">
        <v>115</v>
      </c>
      <c r="I14" s="22" t="s">
        <v>36</v>
      </c>
      <c r="J14" s="22">
        <f t="shared" si="1"/>
        <v>88</v>
      </c>
      <c r="K14" s="22">
        <f t="shared" si="0"/>
        <v>16</v>
      </c>
      <c r="L14" s="21">
        <v>1</v>
      </c>
      <c r="M14" s="21">
        <v>0</v>
      </c>
      <c r="N14" s="22">
        <v>0</v>
      </c>
      <c r="O14" s="22">
        <v>0</v>
      </c>
      <c r="P14" s="22">
        <v>1</v>
      </c>
      <c r="Q14" s="9" t="s">
        <v>37</v>
      </c>
      <c r="S14" s="25"/>
      <c r="W14" s="24" t="s">
        <v>37</v>
      </c>
      <c r="Y14" s="24" t="s">
        <v>37</v>
      </c>
    </row>
    <row r="15" spans="1:26" ht="84">
      <c r="A15" s="10">
        <v>1014</v>
      </c>
      <c r="B15" s="9">
        <v>9</v>
      </c>
      <c r="C15" s="26" t="s">
        <v>88</v>
      </c>
      <c r="D15" s="11" t="s">
        <v>81</v>
      </c>
      <c r="E15" s="23" t="s">
        <v>52</v>
      </c>
      <c r="F15" s="14" t="s">
        <v>34</v>
      </c>
      <c r="G15" s="14" t="s">
        <v>37</v>
      </c>
      <c r="H15" s="27" t="s">
        <v>116</v>
      </c>
      <c r="I15" s="22" t="s">
        <v>36</v>
      </c>
      <c r="J15" s="22">
        <f t="shared" si="1"/>
        <v>116</v>
      </c>
      <c r="K15" s="22">
        <f t="shared" si="0"/>
        <v>17</v>
      </c>
      <c r="L15" s="21">
        <v>1</v>
      </c>
      <c r="M15" s="21">
        <v>0</v>
      </c>
      <c r="N15" s="22">
        <v>0</v>
      </c>
      <c r="O15" s="22">
        <v>0</v>
      </c>
      <c r="P15" s="22">
        <v>1</v>
      </c>
      <c r="Q15" s="9" t="s">
        <v>37</v>
      </c>
      <c r="S15" s="25"/>
      <c r="W15" s="24" t="s">
        <v>37</v>
      </c>
      <c r="Y15" s="24" t="s">
        <v>37</v>
      </c>
    </row>
    <row r="16" spans="1:26" ht="72">
      <c r="A16" s="10">
        <v>1015</v>
      </c>
      <c r="B16" s="9">
        <v>10</v>
      </c>
      <c r="C16" s="26" t="s">
        <v>89</v>
      </c>
      <c r="D16" s="11" t="s">
        <v>81</v>
      </c>
      <c r="E16" s="23" t="s">
        <v>53</v>
      </c>
      <c r="F16" s="14" t="s">
        <v>34</v>
      </c>
      <c r="G16" s="14" t="s">
        <v>37</v>
      </c>
      <c r="H16" s="27" t="s">
        <v>117</v>
      </c>
      <c r="I16" s="22" t="s">
        <v>36</v>
      </c>
      <c r="J16" s="22">
        <f t="shared" si="1"/>
        <v>206</v>
      </c>
      <c r="K16" s="22">
        <f t="shared" si="0"/>
        <v>14</v>
      </c>
      <c r="L16" s="21">
        <v>1</v>
      </c>
      <c r="M16" s="21">
        <v>0</v>
      </c>
      <c r="N16" s="22">
        <v>0</v>
      </c>
      <c r="O16" s="22">
        <v>0</v>
      </c>
      <c r="P16" s="22">
        <v>1</v>
      </c>
      <c r="Q16" s="9" t="s">
        <v>37</v>
      </c>
      <c r="S16" s="25"/>
      <c r="W16" s="24" t="s">
        <v>37</v>
      </c>
      <c r="Y16" s="24" t="s">
        <v>37</v>
      </c>
    </row>
    <row r="17" spans="1:25" ht="36">
      <c r="A17" s="10">
        <v>1016</v>
      </c>
      <c r="B17" s="9">
        <v>10</v>
      </c>
      <c r="C17" s="26" t="s">
        <v>89</v>
      </c>
      <c r="D17" s="11" t="s">
        <v>81</v>
      </c>
      <c r="E17" s="23" t="s">
        <v>54</v>
      </c>
      <c r="F17" s="14" t="s">
        <v>34</v>
      </c>
      <c r="G17" s="14" t="s">
        <v>37</v>
      </c>
      <c r="H17" s="27" t="s">
        <v>118</v>
      </c>
      <c r="I17" s="22" t="s">
        <v>36</v>
      </c>
      <c r="J17" s="22">
        <f t="shared" si="1"/>
        <v>165</v>
      </c>
      <c r="K17" s="22">
        <f t="shared" si="0"/>
        <v>11</v>
      </c>
      <c r="L17" s="21">
        <v>1</v>
      </c>
      <c r="M17" s="21">
        <v>0</v>
      </c>
      <c r="N17" s="22">
        <v>0</v>
      </c>
      <c r="O17" s="22">
        <v>0</v>
      </c>
      <c r="P17" s="22">
        <v>1</v>
      </c>
      <c r="Q17" s="9" t="s">
        <v>36</v>
      </c>
      <c r="R17" s="9" t="s">
        <v>37</v>
      </c>
      <c r="S17" s="25" t="s">
        <v>151</v>
      </c>
      <c r="W17" s="24" t="s">
        <v>37</v>
      </c>
      <c r="Y17" s="24" t="s">
        <v>37</v>
      </c>
    </row>
    <row r="18" spans="1:25" ht="48">
      <c r="A18" s="10">
        <v>1017</v>
      </c>
      <c r="B18" s="9">
        <v>11</v>
      </c>
      <c r="C18" s="26" t="s">
        <v>89</v>
      </c>
      <c r="D18" s="11" t="s">
        <v>81</v>
      </c>
      <c r="E18" s="23" t="s">
        <v>55</v>
      </c>
      <c r="F18" s="14" t="s">
        <v>34</v>
      </c>
      <c r="G18" s="14" t="s">
        <v>37</v>
      </c>
      <c r="H18" s="27" t="s">
        <v>119</v>
      </c>
      <c r="I18" s="22" t="s">
        <v>36</v>
      </c>
      <c r="J18" s="22">
        <f t="shared" si="1"/>
        <v>84</v>
      </c>
      <c r="K18" s="22">
        <f t="shared" si="0"/>
        <v>13</v>
      </c>
      <c r="L18" s="21">
        <v>1</v>
      </c>
      <c r="M18" s="21">
        <v>0</v>
      </c>
      <c r="N18" s="22">
        <v>0</v>
      </c>
      <c r="O18" s="22">
        <v>0</v>
      </c>
      <c r="P18" s="22">
        <v>1</v>
      </c>
      <c r="Q18" s="9" t="s">
        <v>37</v>
      </c>
      <c r="S18" s="25"/>
      <c r="W18" s="24" t="s">
        <v>37</v>
      </c>
      <c r="Y18" s="24" t="s">
        <v>37</v>
      </c>
    </row>
    <row r="19" spans="1:25" ht="36">
      <c r="A19" s="10">
        <v>1018</v>
      </c>
      <c r="B19" s="9">
        <v>12</v>
      </c>
      <c r="C19" s="26" t="s">
        <v>90</v>
      </c>
      <c r="D19" s="11" t="s">
        <v>81</v>
      </c>
      <c r="E19" s="23" t="s">
        <v>56</v>
      </c>
      <c r="F19" s="14" t="s">
        <v>34</v>
      </c>
      <c r="G19" s="14" t="s">
        <v>37</v>
      </c>
      <c r="H19" s="27" t="s">
        <v>120</v>
      </c>
      <c r="I19" s="22" t="s">
        <v>36</v>
      </c>
      <c r="J19" s="22">
        <f t="shared" si="1"/>
        <v>112</v>
      </c>
      <c r="K19" s="22">
        <f t="shared" si="0"/>
        <v>11</v>
      </c>
      <c r="L19" s="21">
        <v>1</v>
      </c>
      <c r="M19" s="21">
        <v>0</v>
      </c>
      <c r="N19" s="22">
        <v>0</v>
      </c>
      <c r="O19" s="22">
        <v>0</v>
      </c>
      <c r="P19" s="22">
        <v>1</v>
      </c>
      <c r="Q19" s="9" t="s">
        <v>36</v>
      </c>
      <c r="R19" s="9" t="s">
        <v>37</v>
      </c>
      <c r="S19" s="25" t="s">
        <v>152</v>
      </c>
      <c r="W19" s="24" t="s">
        <v>37</v>
      </c>
      <c r="Y19" s="24" t="s">
        <v>37</v>
      </c>
    </row>
    <row r="20" spans="1:25" ht="36">
      <c r="A20" s="10">
        <v>1019</v>
      </c>
      <c r="B20" s="9">
        <v>13</v>
      </c>
      <c r="C20" s="26" t="s">
        <v>90</v>
      </c>
      <c r="D20" s="11" t="s">
        <v>81</v>
      </c>
      <c r="E20" s="23" t="s">
        <v>57</v>
      </c>
      <c r="F20" s="14" t="s">
        <v>34</v>
      </c>
      <c r="G20" s="14" t="s">
        <v>37</v>
      </c>
      <c r="H20" s="27" t="s">
        <v>121</v>
      </c>
      <c r="I20" s="22" t="s">
        <v>36</v>
      </c>
      <c r="J20" s="22">
        <f t="shared" si="1"/>
        <v>97</v>
      </c>
      <c r="K20" s="22">
        <f t="shared" si="0"/>
        <v>12</v>
      </c>
      <c r="L20" s="21">
        <v>1</v>
      </c>
      <c r="M20" s="21">
        <v>0</v>
      </c>
      <c r="N20" s="22">
        <v>0</v>
      </c>
      <c r="O20" s="22">
        <v>0</v>
      </c>
      <c r="P20" s="22">
        <v>1</v>
      </c>
      <c r="Q20" s="9" t="s">
        <v>37</v>
      </c>
      <c r="S20" s="25"/>
      <c r="W20" s="24" t="s">
        <v>37</v>
      </c>
      <c r="Y20" s="24" t="s">
        <v>37</v>
      </c>
    </row>
    <row r="21" spans="1:25" ht="48">
      <c r="A21" s="10">
        <v>1020</v>
      </c>
      <c r="B21" s="9">
        <v>14</v>
      </c>
      <c r="C21" s="26" t="s">
        <v>90</v>
      </c>
      <c r="D21" s="11" t="s">
        <v>81</v>
      </c>
      <c r="E21" s="23" t="s">
        <v>58</v>
      </c>
      <c r="F21" s="14" t="s">
        <v>34</v>
      </c>
      <c r="G21" s="14" t="s">
        <v>37</v>
      </c>
      <c r="H21" s="27" t="s">
        <v>122</v>
      </c>
      <c r="I21" s="22" t="s">
        <v>36</v>
      </c>
      <c r="J21" s="22">
        <f t="shared" si="1"/>
        <v>79</v>
      </c>
      <c r="K21" s="22">
        <f t="shared" si="0"/>
        <v>22</v>
      </c>
      <c r="L21" s="21">
        <v>1</v>
      </c>
      <c r="M21" s="21">
        <v>0</v>
      </c>
      <c r="N21" s="22">
        <v>0</v>
      </c>
      <c r="O21" s="22">
        <v>0</v>
      </c>
      <c r="P21" s="22">
        <v>1</v>
      </c>
      <c r="Q21" s="9" t="s">
        <v>37</v>
      </c>
      <c r="S21" s="25"/>
      <c r="W21" s="24" t="s">
        <v>37</v>
      </c>
      <c r="Y21" s="24" t="s">
        <v>37</v>
      </c>
    </row>
    <row r="22" spans="1:25" ht="48">
      <c r="A22" s="10">
        <v>1021</v>
      </c>
      <c r="B22" s="9">
        <v>15</v>
      </c>
      <c r="C22" s="26" t="s">
        <v>91</v>
      </c>
      <c r="D22" s="11" t="s">
        <v>81</v>
      </c>
      <c r="E22" s="23" t="s">
        <v>59</v>
      </c>
      <c r="F22" s="14" t="s">
        <v>34</v>
      </c>
      <c r="G22" s="14" t="s">
        <v>37</v>
      </c>
      <c r="H22" s="27" t="s">
        <v>123</v>
      </c>
      <c r="I22" s="22" t="s">
        <v>36</v>
      </c>
      <c r="J22" s="22">
        <f t="shared" si="1"/>
        <v>121</v>
      </c>
      <c r="K22" s="22">
        <f t="shared" si="0"/>
        <v>13</v>
      </c>
      <c r="L22" s="21">
        <v>1</v>
      </c>
      <c r="M22" s="21">
        <v>0</v>
      </c>
      <c r="N22" s="22">
        <v>0</v>
      </c>
      <c r="O22" s="22">
        <v>0</v>
      </c>
      <c r="P22" s="22">
        <v>1</v>
      </c>
      <c r="Q22" s="9" t="s">
        <v>36</v>
      </c>
      <c r="R22" s="9" t="s">
        <v>37</v>
      </c>
      <c r="S22" s="25" t="s">
        <v>153</v>
      </c>
      <c r="W22" s="24" t="s">
        <v>37</v>
      </c>
      <c r="Y22" s="24" t="s">
        <v>37</v>
      </c>
    </row>
    <row r="23" spans="1:25" ht="48">
      <c r="A23" s="10">
        <v>1022</v>
      </c>
      <c r="B23" s="9">
        <v>16</v>
      </c>
      <c r="C23" s="26" t="s">
        <v>91</v>
      </c>
      <c r="D23" s="11" t="s">
        <v>81</v>
      </c>
      <c r="E23" s="23" t="s">
        <v>60</v>
      </c>
      <c r="F23" s="14" t="s">
        <v>34</v>
      </c>
      <c r="G23" s="14" t="s">
        <v>37</v>
      </c>
      <c r="H23" s="27" t="s">
        <v>124</v>
      </c>
      <c r="I23" s="22" t="s">
        <v>36</v>
      </c>
      <c r="J23" s="22">
        <f t="shared" si="1"/>
        <v>95</v>
      </c>
      <c r="K23" s="22">
        <f t="shared" si="0"/>
        <v>11</v>
      </c>
      <c r="L23" s="21">
        <v>1</v>
      </c>
      <c r="M23" s="21">
        <v>0</v>
      </c>
      <c r="N23" s="22">
        <v>0</v>
      </c>
      <c r="O23" s="22">
        <v>0</v>
      </c>
      <c r="P23" s="22">
        <v>1</v>
      </c>
      <c r="Q23" s="9" t="s">
        <v>37</v>
      </c>
      <c r="S23" s="25"/>
      <c r="W23" s="24" t="s">
        <v>37</v>
      </c>
      <c r="Y23" s="24" t="s">
        <v>37</v>
      </c>
    </row>
    <row r="24" spans="1:25" ht="36">
      <c r="A24" s="10">
        <v>1023</v>
      </c>
      <c r="B24" s="9">
        <v>16</v>
      </c>
      <c r="C24" s="26" t="s">
        <v>91</v>
      </c>
      <c r="D24" s="11" t="s">
        <v>81</v>
      </c>
      <c r="E24" s="23" t="s">
        <v>61</v>
      </c>
      <c r="F24" s="14" t="s">
        <v>34</v>
      </c>
      <c r="G24" s="14" t="s">
        <v>37</v>
      </c>
      <c r="H24" s="27" t="s">
        <v>125</v>
      </c>
      <c r="I24" s="22" t="s">
        <v>36</v>
      </c>
      <c r="J24" s="22">
        <f t="shared" si="1"/>
        <v>115</v>
      </c>
      <c r="K24" s="22">
        <f t="shared" si="0"/>
        <v>21</v>
      </c>
      <c r="L24" s="21">
        <v>1</v>
      </c>
      <c r="M24" s="21">
        <v>0</v>
      </c>
      <c r="N24" s="22">
        <v>0</v>
      </c>
      <c r="O24" s="22">
        <v>0</v>
      </c>
      <c r="P24" s="22">
        <v>1</v>
      </c>
      <c r="Q24" s="9" t="s">
        <v>37</v>
      </c>
      <c r="S24" s="25"/>
      <c r="W24" s="24" t="s">
        <v>37</v>
      </c>
      <c r="Y24" s="24" t="s">
        <v>37</v>
      </c>
    </row>
    <row r="25" spans="1:25" ht="48">
      <c r="A25" s="10">
        <v>1024</v>
      </c>
      <c r="B25" s="9">
        <v>16</v>
      </c>
      <c r="C25" s="26" t="s">
        <v>91</v>
      </c>
      <c r="D25" s="11" t="s">
        <v>81</v>
      </c>
      <c r="E25" s="23" t="s">
        <v>31</v>
      </c>
      <c r="F25" s="14" t="s">
        <v>34</v>
      </c>
      <c r="G25" s="14" t="s">
        <v>37</v>
      </c>
      <c r="H25" s="27" t="s">
        <v>126</v>
      </c>
      <c r="I25" s="22" t="s">
        <v>36</v>
      </c>
      <c r="J25" s="22">
        <f t="shared" si="1"/>
        <v>89</v>
      </c>
      <c r="K25" s="22">
        <f t="shared" si="0"/>
        <v>12</v>
      </c>
      <c r="L25" s="21">
        <v>1</v>
      </c>
      <c r="M25" s="21">
        <v>0</v>
      </c>
      <c r="N25" s="22">
        <v>0</v>
      </c>
      <c r="O25" s="22">
        <v>0</v>
      </c>
      <c r="P25" s="22">
        <v>1</v>
      </c>
      <c r="Q25" s="9" t="s">
        <v>37</v>
      </c>
      <c r="S25" s="25"/>
      <c r="W25" s="24" t="s">
        <v>37</v>
      </c>
      <c r="Y25" s="24" t="s">
        <v>37</v>
      </c>
    </row>
    <row r="26" spans="1:25" ht="48">
      <c r="A26" s="10">
        <v>1025</v>
      </c>
      <c r="B26" s="9">
        <v>17</v>
      </c>
      <c r="C26" s="26" t="s">
        <v>92</v>
      </c>
      <c r="D26" s="11" t="s">
        <v>81</v>
      </c>
      <c r="E26" s="23" t="s">
        <v>62</v>
      </c>
      <c r="F26" s="14" t="s">
        <v>34</v>
      </c>
      <c r="G26" s="14" t="s">
        <v>37</v>
      </c>
      <c r="H26" s="27" t="s">
        <v>127</v>
      </c>
      <c r="I26" s="22" t="s">
        <v>36</v>
      </c>
      <c r="J26" s="22">
        <f t="shared" si="1"/>
        <v>98</v>
      </c>
      <c r="K26" s="22">
        <f t="shared" si="0"/>
        <v>15</v>
      </c>
      <c r="L26" s="21">
        <v>1</v>
      </c>
      <c r="M26" s="21">
        <v>0</v>
      </c>
      <c r="N26" s="22">
        <v>0</v>
      </c>
      <c r="O26" s="22">
        <v>0</v>
      </c>
      <c r="P26" s="22">
        <v>1</v>
      </c>
      <c r="Q26" s="9" t="s">
        <v>37</v>
      </c>
      <c r="S26" s="25"/>
      <c r="W26" s="24" t="s">
        <v>37</v>
      </c>
      <c r="Y26" s="24" t="s">
        <v>37</v>
      </c>
    </row>
    <row r="27" spans="1:25" ht="36">
      <c r="A27" s="10">
        <v>1026</v>
      </c>
      <c r="B27" s="9">
        <v>17</v>
      </c>
      <c r="C27" s="26" t="s">
        <v>92</v>
      </c>
      <c r="D27" s="11" t="s">
        <v>81</v>
      </c>
      <c r="E27" s="23" t="s">
        <v>63</v>
      </c>
      <c r="F27" s="14" t="s">
        <v>34</v>
      </c>
      <c r="G27" s="14" t="s">
        <v>37</v>
      </c>
      <c r="H27" s="27" t="s">
        <v>128</v>
      </c>
      <c r="I27" s="22" t="s">
        <v>36</v>
      </c>
      <c r="J27" s="22">
        <f t="shared" si="1"/>
        <v>102</v>
      </c>
      <c r="K27" s="22">
        <f t="shared" si="0"/>
        <v>19</v>
      </c>
      <c r="L27" s="21">
        <v>1</v>
      </c>
      <c r="M27" s="21">
        <v>0</v>
      </c>
      <c r="N27" s="22">
        <v>0</v>
      </c>
      <c r="O27" s="22">
        <v>0</v>
      </c>
      <c r="P27" s="22">
        <v>1</v>
      </c>
      <c r="Q27" s="9" t="s">
        <v>37</v>
      </c>
      <c r="S27" s="25"/>
      <c r="W27" s="24" t="s">
        <v>37</v>
      </c>
      <c r="Y27" s="24" t="s">
        <v>37</v>
      </c>
    </row>
    <row r="28" spans="1:25" ht="25.5">
      <c r="A28" s="10">
        <v>1027</v>
      </c>
      <c r="B28" s="9">
        <v>17</v>
      </c>
      <c r="C28" s="26" t="s">
        <v>92</v>
      </c>
      <c r="D28" s="11" t="s">
        <v>81</v>
      </c>
      <c r="E28" s="23" t="s">
        <v>64</v>
      </c>
      <c r="F28" s="14" t="s">
        <v>34</v>
      </c>
      <c r="G28" s="14" t="s">
        <v>37</v>
      </c>
      <c r="H28" s="27" t="s">
        <v>129</v>
      </c>
      <c r="I28" s="22" t="s">
        <v>36</v>
      </c>
      <c r="J28" s="22">
        <f t="shared" si="1"/>
        <v>99</v>
      </c>
      <c r="K28" s="22">
        <f t="shared" si="0"/>
        <v>19</v>
      </c>
      <c r="L28" s="21">
        <v>1</v>
      </c>
      <c r="M28" s="21">
        <v>0</v>
      </c>
      <c r="N28" s="22">
        <v>0</v>
      </c>
      <c r="O28" s="22">
        <v>0</v>
      </c>
      <c r="P28" s="22">
        <v>1</v>
      </c>
      <c r="Q28" s="9" t="s">
        <v>37</v>
      </c>
      <c r="S28" s="25"/>
      <c r="W28" s="24" t="s">
        <v>37</v>
      </c>
      <c r="Y28" s="24" t="s">
        <v>37</v>
      </c>
    </row>
    <row r="29" spans="1:25" ht="48">
      <c r="A29" s="10">
        <v>1028</v>
      </c>
      <c r="B29" s="9">
        <v>18</v>
      </c>
      <c r="C29" s="26" t="s">
        <v>91</v>
      </c>
      <c r="D29" s="11" t="s">
        <v>81</v>
      </c>
      <c r="E29" s="23" t="s">
        <v>65</v>
      </c>
      <c r="F29" s="14" t="s">
        <v>34</v>
      </c>
      <c r="G29" s="14" t="s">
        <v>37</v>
      </c>
      <c r="H29" s="27" t="s">
        <v>130</v>
      </c>
      <c r="I29" s="22" t="s">
        <v>36</v>
      </c>
      <c r="J29" s="22">
        <f t="shared" si="1"/>
        <v>71</v>
      </c>
      <c r="K29" s="22">
        <f t="shared" si="0"/>
        <v>17</v>
      </c>
      <c r="L29" s="21">
        <v>1</v>
      </c>
      <c r="M29" s="21">
        <v>0</v>
      </c>
      <c r="N29" s="22">
        <v>0</v>
      </c>
      <c r="O29" s="22">
        <v>0</v>
      </c>
      <c r="P29" s="22">
        <v>1</v>
      </c>
      <c r="Q29" s="9" t="s">
        <v>37</v>
      </c>
      <c r="S29" s="25"/>
      <c r="W29" s="24" t="s">
        <v>37</v>
      </c>
      <c r="Y29" s="24" t="s">
        <v>37</v>
      </c>
    </row>
    <row r="30" spans="1:25" ht="60">
      <c r="A30" s="10">
        <v>1029</v>
      </c>
      <c r="B30" s="9">
        <v>19</v>
      </c>
      <c r="C30" s="26" t="s">
        <v>93</v>
      </c>
      <c r="D30" s="11" t="s">
        <v>81</v>
      </c>
      <c r="E30" s="23" t="s">
        <v>32</v>
      </c>
      <c r="F30" s="14" t="s">
        <v>34</v>
      </c>
      <c r="G30" s="14" t="s">
        <v>37</v>
      </c>
      <c r="H30" s="27" t="s">
        <v>93</v>
      </c>
      <c r="I30" s="22" t="s">
        <v>36</v>
      </c>
      <c r="J30" s="22">
        <f t="shared" si="1"/>
        <v>108</v>
      </c>
      <c r="K30" s="22">
        <f t="shared" si="0"/>
        <v>10</v>
      </c>
      <c r="L30" s="21">
        <v>1</v>
      </c>
      <c r="M30" s="21">
        <v>0</v>
      </c>
      <c r="N30" s="22">
        <v>0</v>
      </c>
      <c r="O30" s="22">
        <v>0</v>
      </c>
      <c r="P30" s="22">
        <v>1</v>
      </c>
      <c r="Q30" s="9" t="s">
        <v>37</v>
      </c>
      <c r="S30" s="25"/>
      <c r="W30" s="24" t="s">
        <v>37</v>
      </c>
      <c r="Y30" s="24" t="s">
        <v>37</v>
      </c>
    </row>
    <row r="31" spans="1:25" ht="48">
      <c r="A31" s="10">
        <v>1030</v>
      </c>
      <c r="B31" s="9">
        <v>20</v>
      </c>
      <c r="C31" s="26" t="s">
        <v>94</v>
      </c>
      <c r="D31" s="11" t="s">
        <v>81</v>
      </c>
      <c r="E31" s="23" t="s">
        <v>33</v>
      </c>
      <c r="F31" s="14" t="s">
        <v>34</v>
      </c>
      <c r="G31" s="14" t="s">
        <v>37</v>
      </c>
      <c r="H31" s="27" t="s">
        <v>131</v>
      </c>
      <c r="I31" s="22" t="s">
        <v>36</v>
      </c>
      <c r="J31" s="22">
        <f t="shared" si="1"/>
        <v>152</v>
      </c>
      <c r="K31" s="22">
        <f t="shared" si="0"/>
        <v>18</v>
      </c>
      <c r="L31" s="21">
        <v>1</v>
      </c>
      <c r="M31" s="21">
        <v>0</v>
      </c>
      <c r="N31" s="22">
        <v>0</v>
      </c>
      <c r="O31" s="22">
        <v>0</v>
      </c>
      <c r="P31" s="22">
        <v>1</v>
      </c>
      <c r="Q31" s="9" t="s">
        <v>37</v>
      </c>
      <c r="S31" s="25"/>
      <c r="W31" s="24" t="s">
        <v>37</v>
      </c>
      <c r="Y31" s="24" t="s">
        <v>37</v>
      </c>
    </row>
    <row r="32" spans="1:25" ht="36">
      <c r="A32" s="10">
        <v>1031</v>
      </c>
      <c r="B32" s="9">
        <v>21</v>
      </c>
      <c r="C32" s="26" t="s">
        <v>95</v>
      </c>
      <c r="D32" s="11" t="s">
        <v>81</v>
      </c>
      <c r="E32" s="23" t="s">
        <v>66</v>
      </c>
      <c r="F32" s="14" t="s">
        <v>34</v>
      </c>
      <c r="G32" s="14" t="s">
        <v>37</v>
      </c>
      <c r="H32" s="27" t="s">
        <v>132</v>
      </c>
      <c r="I32" s="22" t="s">
        <v>36</v>
      </c>
      <c r="J32" s="22">
        <f t="shared" si="1"/>
        <v>113</v>
      </c>
      <c r="K32" s="22">
        <f t="shared" si="0"/>
        <v>15</v>
      </c>
      <c r="L32" s="21">
        <v>1</v>
      </c>
      <c r="M32" s="21">
        <v>1</v>
      </c>
      <c r="N32" s="22">
        <v>0</v>
      </c>
      <c r="O32" s="22">
        <v>0</v>
      </c>
      <c r="P32" s="22">
        <v>1</v>
      </c>
      <c r="Q32" s="9" t="s">
        <v>36</v>
      </c>
      <c r="R32" s="9" t="s">
        <v>37</v>
      </c>
      <c r="S32" s="25" t="s">
        <v>154</v>
      </c>
      <c r="W32" s="24" t="s">
        <v>37</v>
      </c>
      <c r="Y32" s="24" t="s">
        <v>37</v>
      </c>
    </row>
    <row r="33" spans="1:25" ht="36">
      <c r="A33" s="10">
        <v>1032</v>
      </c>
      <c r="B33" s="9">
        <v>22</v>
      </c>
      <c r="C33" s="26" t="s">
        <v>95</v>
      </c>
      <c r="D33" s="11" t="s">
        <v>81</v>
      </c>
      <c r="E33" s="23" t="s">
        <v>67</v>
      </c>
      <c r="F33" s="14" t="s">
        <v>34</v>
      </c>
      <c r="G33" s="14" t="s">
        <v>37</v>
      </c>
      <c r="H33" s="27" t="s">
        <v>133</v>
      </c>
      <c r="I33" s="22" t="s">
        <v>36</v>
      </c>
      <c r="J33" s="22">
        <f t="shared" si="1"/>
        <v>98</v>
      </c>
      <c r="K33" s="22">
        <f t="shared" si="0"/>
        <v>16</v>
      </c>
      <c r="L33" s="21">
        <v>1</v>
      </c>
      <c r="M33" s="21">
        <v>0</v>
      </c>
      <c r="N33" s="22">
        <v>0</v>
      </c>
      <c r="O33" s="22">
        <v>0</v>
      </c>
      <c r="P33" s="22">
        <v>1</v>
      </c>
      <c r="Q33" s="9" t="s">
        <v>37</v>
      </c>
      <c r="S33" s="25"/>
      <c r="W33" s="24" t="s">
        <v>37</v>
      </c>
      <c r="Y33" s="24" t="s">
        <v>37</v>
      </c>
    </row>
    <row r="34" spans="1:25" ht="36">
      <c r="A34" s="10">
        <v>1033</v>
      </c>
      <c r="B34" s="9">
        <v>22</v>
      </c>
      <c r="C34" s="26" t="s">
        <v>95</v>
      </c>
      <c r="D34" s="11" t="s">
        <v>81</v>
      </c>
      <c r="E34" s="23" t="s">
        <v>68</v>
      </c>
      <c r="F34" s="14" t="s">
        <v>34</v>
      </c>
      <c r="G34" s="14" t="s">
        <v>37</v>
      </c>
      <c r="H34" s="27" t="s">
        <v>134</v>
      </c>
      <c r="I34" s="22" t="s">
        <v>36</v>
      </c>
      <c r="J34" s="22">
        <f t="shared" si="1"/>
        <v>95</v>
      </c>
      <c r="K34" s="22">
        <f t="shared" si="0"/>
        <v>15</v>
      </c>
      <c r="L34" s="21">
        <v>1</v>
      </c>
      <c r="M34" s="21">
        <v>0</v>
      </c>
      <c r="N34" s="22">
        <v>0</v>
      </c>
      <c r="O34" s="22">
        <v>0</v>
      </c>
      <c r="P34" s="22">
        <v>1</v>
      </c>
      <c r="Q34" s="9" t="s">
        <v>37</v>
      </c>
      <c r="S34" s="25"/>
      <c r="W34" s="24" t="s">
        <v>37</v>
      </c>
      <c r="Y34" s="24" t="s">
        <v>37</v>
      </c>
    </row>
    <row r="35" spans="1:25" ht="36">
      <c r="A35" s="10">
        <v>1034</v>
      </c>
      <c r="B35" s="9">
        <v>23</v>
      </c>
      <c r="C35" s="26" t="s">
        <v>96</v>
      </c>
      <c r="D35" s="11" t="s">
        <v>81</v>
      </c>
      <c r="E35" s="23" t="s">
        <v>69</v>
      </c>
      <c r="F35" s="14" t="s">
        <v>34</v>
      </c>
      <c r="G35" s="14" t="s">
        <v>37</v>
      </c>
      <c r="H35" s="27" t="s">
        <v>135</v>
      </c>
      <c r="I35" s="22" t="s">
        <v>36</v>
      </c>
      <c r="J35" s="22">
        <f t="shared" si="1"/>
        <v>92</v>
      </c>
      <c r="K35" s="22">
        <f t="shared" si="0"/>
        <v>19</v>
      </c>
      <c r="L35" s="21">
        <v>1</v>
      </c>
      <c r="M35" s="21">
        <v>0</v>
      </c>
      <c r="N35" s="22">
        <v>0</v>
      </c>
      <c r="O35" s="22">
        <v>0</v>
      </c>
      <c r="P35" s="22">
        <v>1</v>
      </c>
      <c r="Q35" s="9" t="s">
        <v>37</v>
      </c>
      <c r="S35" s="25"/>
      <c r="W35" s="24" t="s">
        <v>37</v>
      </c>
      <c r="Y35" s="24" t="s">
        <v>37</v>
      </c>
    </row>
    <row r="36" spans="1:25" ht="48">
      <c r="A36" s="10">
        <v>1035</v>
      </c>
      <c r="B36" s="9">
        <v>24</v>
      </c>
      <c r="C36" s="26" t="s">
        <v>97</v>
      </c>
      <c r="D36" s="11" t="s">
        <v>81</v>
      </c>
      <c r="E36" s="23" t="s">
        <v>70</v>
      </c>
      <c r="F36" s="14" t="s">
        <v>34</v>
      </c>
      <c r="G36" s="14" t="s">
        <v>37</v>
      </c>
      <c r="H36" s="27" t="s">
        <v>136</v>
      </c>
      <c r="I36" s="22" t="s">
        <v>36</v>
      </c>
      <c r="J36" s="22">
        <f t="shared" si="1"/>
        <v>92</v>
      </c>
      <c r="K36" s="22">
        <f t="shared" si="0"/>
        <v>11</v>
      </c>
      <c r="L36" s="21">
        <v>1</v>
      </c>
      <c r="M36" s="21">
        <v>0</v>
      </c>
      <c r="N36" s="22">
        <v>0</v>
      </c>
      <c r="O36" s="22">
        <v>0</v>
      </c>
      <c r="P36" s="22">
        <v>1</v>
      </c>
      <c r="Q36" s="9" t="s">
        <v>36</v>
      </c>
      <c r="R36" s="9" t="s">
        <v>37</v>
      </c>
      <c r="S36" s="25" t="s">
        <v>155</v>
      </c>
      <c r="W36" s="24" t="s">
        <v>37</v>
      </c>
      <c r="Y36" s="24" t="s">
        <v>37</v>
      </c>
    </row>
    <row r="37" spans="1:25" ht="60">
      <c r="A37" s="10">
        <v>1036</v>
      </c>
      <c r="B37" s="9">
        <v>25</v>
      </c>
      <c r="C37" s="26" t="s">
        <v>97</v>
      </c>
      <c r="D37" s="11" t="s">
        <v>81</v>
      </c>
      <c r="E37" s="17" t="s">
        <v>71</v>
      </c>
      <c r="F37" s="28" t="s">
        <v>34</v>
      </c>
      <c r="G37" s="14" t="s">
        <v>37</v>
      </c>
      <c r="H37" s="27" t="s">
        <v>137</v>
      </c>
      <c r="I37" s="22" t="s">
        <v>36</v>
      </c>
      <c r="J37" s="22">
        <f t="shared" si="1"/>
        <v>115</v>
      </c>
      <c r="K37" s="22">
        <f t="shared" si="0"/>
        <v>7</v>
      </c>
      <c r="L37" s="21">
        <v>1</v>
      </c>
      <c r="M37" s="21">
        <v>0</v>
      </c>
      <c r="N37" s="22">
        <v>0</v>
      </c>
      <c r="O37" s="22">
        <v>0</v>
      </c>
      <c r="P37" s="22">
        <v>1</v>
      </c>
      <c r="Q37" s="9" t="s">
        <v>37</v>
      </c>
      <c r="S37" s="25"/>
      <c r="W37" s="24" t="s">
        <v>37</v>
      </c>
      <c r="Y37" s="24" t="s">
        <v>37</v>
      </c>
    </row>
    <row r="38" spans="1:25" ht="36">
      <c r="A38" s="10">
        <v>1037</v>
      </c>
      <c r="B38" s="9">
        <v>25</v>
      </c>
      <c r="C38" s="26" t="s">
        <v>97</v>
      </c>
      <c r="D38" s="11" t="s">
        <v>81</v>
      </c>
      <c r="E38" s="17" t="s">
        <v>72</v>
      </c>
      <c r="F38" s="28" t="s">
        <v>34</v>
      </c>
      <c r="G38" s="14" t="s">
        <v>37</v>
      </c>
      <c r="H38" s="27" t="s">
        <v>138</v>
      </c>
      <c r="I38" s="22" t="s">
        <v>36</v>
      </c>
      <c r="J38" s="22">
        <f t="shared" si="1"/>
        <v>132</v>
      </c>
      <c r="K38" s="22">
        <f t="shared" si="0"/>
        <v>14</v>
      </c>
      <c r="L38" s="21">
        <v>1</v>
      </c>
      <c r="M38" s="21">
        <v>0</v>
      </c>
      <c r="N38" s="22">
        <v>0</v>
      </c>
      <c r="O38" s="22">
        <v>0</v>
      </c>
      <c r="P38" s="22">
        <v>1</v>
      </c>
      <c r="Q38" s="9" t="s">
        <v>37</v>
      </c>
      <c r="S38" s="25"/>
      <c r="W38" s="24" t="s">
        <v>37</v>
      </c>
      <c r="Y38" s="24" t="s">
        <v>37</v>
      </c>
    </row>
    <row r="39" spans="1:25" ht="48">
      <c r="A39" s="10">
        <v>1038</v>
      </c>
      <c r="B39" s="9">
        <v>26</v>
      </c>
      <c r="C39" s="26" t="s">
        <v>98</v>
      </c>
      <c r="D39" s="11" t="s">
        <v>81</v>
      </c>
      <c r="E39" s="17" t="s">
        <v>73</v>
      </c>
      <c r="F39" s="28" t="s">
        <v>34</v>
      </c>
      <c r="G39" s="14" t="s">
        <v>37</v>
      </c>
      <c r="H39" s="27" t="s">
        <v>139</v>
      </c>
      <c r="I39" s="22" t="s">
        <v>36</v>
      </c>
      <c r="J39" s="22">
        <f t="shared" si="1"/>
        <v>97</v>
      </c>
      <c r="K39" s="22">
        <f t="shared" si="0"/>
        <v>17</v>
      </c>
      <c r="L39" s="21">
        <v>1</v>
      </c>
      <c r="M39" s="21">
        <v>0</v>
      </c>
      <c r="N39" s="22">
        <v>0</v>
      </c>
      <c r="O39" s="22">
        <v>0</v>
      </c>
      <c r="P39" s="22">
        <v>1</v>
      </c>
      <c r="Q39" s="9" t="s">
        <v>37</v>
      </c>
      <c r="S39" s="25"/>
      <c r="W39" s="24" t="s">
        <v>37</v>
      </c>
      <c r="Y39" s="24" t="s">
        <v>37</v>
      </c>
    </row>
    <row r="40" spans="1:25" ht="24">
      <c r="A40" s="10">
        <v>1039</v>
      </c>
      <c r="B40" s="9">
        <v>27</v>
      </c>
      <c r="C40" s="26" t="s">
        <v>99</v>
      </c>
      <c r="D40" s="11" t="s">
        <v>81</v>
      </c>
      <c r="E40" s="17" t="s">
        <v>74</v>
      </c>
      <c r="F40" s="28" t="s">
        <v>34</v>
      </c>
      <c r="G40" s="14" t="s">
        <v>37</v>
      </c>
      <c r="H40" s="27" t="s">
        <v>35</v>
      </c>
      <c r="I40" s="22" t="s">
        <v>36</v>
      </c>
      <c r="J40" s="22">
        <f t="shared" si="1"/>
        <v>106</v>
      </c>
      <c r="K40" s="22">
        <f t="shared" si="0"/>
        <v>4</v>
      </c>
      <c r="L40" s="21">
        <v>1</v>
      </c>
      <c r="M40" s="21">
        <v>1</v>
      </c>
      <c r="N40" s="22">
        <v>0</v>
      </c>
      <c r="O40" s="22">
        <v>0</v>
      </c>
      <c r="P40" s="22">
        <v>1</v>
      </c>
      <c r="Q40" s="9" t="s">
        <v>36</v>
      </c>
      <c r="R40" s="9" t="s">
        <v>37</v>
      </c>
      <c r="S40" s="25" t="s">
        <v>156</v>
      </c>
      <c r="W40" s="24" t="s">
        <v>37</v>
      </c>
      <c r="Y40" s="24" t="s">
        <v>37</v>
      </c>
    </row>
    <row r="41" spans="1:25" ht="60">
      <c r="A41" s="10">
        <v>1040</v>
      </c>
      <c r="B41" s="9">
        <v>28</v>
      </c>
      <c r="C41" s="26" t="s">
        <v>99</v>
      </c>
      <c r="D41" s="11" t="s">
        <v>81</v>
      </c>
      <c r="E41" s="17" t="s">
        <v>75</v>
      </c>
      <c r="F41" s="28" t="s">
        <v>34</v>
      </c>
      <c r="G41" s="14" t="s">
        <v>37</v>
      </c>
      <c r="H41" s="27" t="s">
        <v>140</v>
      </c>
      <c r="I41" s="22" t="s">
        <v>36</v>
      </c>
      <c r="J41" s="22">
        <f t="shared" si="1"/>
        <v>37</v>
      </c>
      <c r="K41" s="22">
        <f t="shared" si="0"/>
        <v>15</v>
      </c>
      <c r="L41" s="21">
        <v>1</v>
      </c>
      <c r="M41" s="21">
        <v>0</v>
      </c>
      <c r="N41" s="22">
        <v>0</v>
      </c>
      <c r="O41" s="22">
        <v>0</v>
      </c>
      <c r="P41" s="22">
        <v>1</v>
      </c>
      <c r="Q41" s="9" t="s">
        <v>37</v>
      </c>
      <c r="S41" s="25"/>
      <c r="W41" s="24" t="s">
        <v>37</v>
      </c>
      <c r="Y41" s="24" t="s">
        <v>37</v>
      </c>
    </row>
    <row r="42" spans="1:25" ht="36">
      <c r="A42" s="10">
        <v>1041</v>
      </c>
      <c r="B42" s="9">
        <v>29</v>
      </c>
      <c r="C42" s="26" t="s">
        <v>100</v>
      </c>
      <c r="D42" s="11" t="s">
        <v>81</v>
      </c>
      <c r="E42" s="17" t="s">
        <v>76</v>
      </c>
      <c r="F42" s="28" t="s">
        <v>34</v>
      </c>
      <c r="G42" s="14" t="s">
        <v>37</v>
      </c>
      <c r="H42" s="27" t="s">
        <v>100</v>
      </c>
      <c r="I42" s="22" t="s">
        <v>36</v>
      </c>
      <c r="J42" s="22">
        <f t="shared" si="1"/>
        <v>130</v>
      </c>
      <c r="K42" s="22">
        <f t="shared" si="0"/>
        <v>14</v>
      </c>
      <c r="L42" s="21">
        <v>1</v>
      </c>
      <c r="M42" s="21">
        <v>1</v>
      </c>
      <c r="N42" s="22">
        <v>0</v>
      </c>
      <c r="O42" s="22">
        <v>0</v>
      </c>
      <c r="P42" s="22">
        <v>1</v>
      </c>
      <c r="Q42" s="9" t="s">
        <v>36</v>
      </c>
      <c r="R42" s="9" t="s">
        <v>37</v>
      </c>
      <c r="S42" s="25" t="s">
        <v>157</v>
      </c>
      <c r="W42" s="24" t="s">
        <v>37</v>
      </c>
      <c r="Y42" s="24" t="s">
        <v>37</v>
      </c>
    </row>
    <row r="43" spans="1:25" ht="60">
      <c r="A43" s="10">
        <v>1042</v>
      </c>
      <c r="B43" s="9">
        <v>30</v>
      </c>
      <c r="C43" s="26" t="s">
        <v>101</v>
      </c>
      <c r="D43" s="11" t="s">
        <v>81</v>
      </c>
      <c r="E43" s="3" t="s">
        <v>77</v>
      </c>
      <c r="F43" s="28" t="s">
        <v>34</v>
      </c>
      <c r="G43" s="14" t="s">
        <v>37</v>
      </c>
      <c r="H43" s="27" t="s">
        <v>141</v>
      </c>
      <c r="I43" s="22" t="s">
        <v>36</v>
      </c>
      <c r="J43" s="22">
        <f t="shared" si="1"/>
        <v>74</v>
      </c>
      <c r="K43" s="22">
        <f t="shared" si="0"/>
        <v>17</v>
      </c>
      <c r="L43" s="21">
        <v>1</v>
      </c>
      <c r="M43" s="21">
        <v>0</v>
      </c>
      <c r="N43" s="22">
        <v>0</v>
      </c>
      <c r="O43" s="22">
        <v>0</v>
      </c>
      <c r="P43" s="22">
        <v>1</v>
      </c>
      <c r="Q43" s="9" t="s">
        <v>37</v>
      </c>
      <c r="S43" s="25"/>
      <c r="W43" s="24" t="s">
        <v>37</v>
      </c>
      <c r="Y43" s="24" t="s">
        <v>37</v>
      </c>
    </row>
    <row r="44" spans="1:25" ht="36">
      <c r="A44" s="10">
        <v>1043</v>
      </c>
      <c r="B44" s="9">
        <v>30</v>
      </c>
      <c r="C44" s="26" t="s">
        <v>101</v>
      </c>
      <c r="D44" s="11" t="s">
        <v>81</v>
      </c>
      <c r="E44" s="3" t="s">
        <v>78</v>
      </c>
      <c r="F44" s="28" t="s">
        <v>34</v>
      </c>
      <c r="G44" s="14" t="s">
        <v>37</v>
      </c>
      <c r="H44" s="27" t="s">
        <v>142</v>
      </c>
      <c r="I44" s="22" t="s">
        <v>36</v>
      </c>
      <c r="J44" s="22">
        <f t="shared" si="1"/>
        <v>131</v>
      </c>
      <c r="K44" s="22">
        <f t="shared" si="0"/>
        <v>14</v>
      </c>
      <c r="L44" s="21">
        <v>1</v>
      </c>
      <c r="M44" s="21">
        <v>0</v>
      </c>
      <c r="N44" s="22">
        <v>0</v>
      </c>
      <c r="O44" s="22">
        <v>0</v>
      </c>
      <c r="P44" s="22">
        <v>1</v>
      </c>
      <c r="Q44" s="9" t="s">
        <v>37</v>
      </c>
      <c r="S44" s="25"/>
      <c r="W44" s="24" t="s">
        <v>37</v>
      </c>
      <c r="Y44" s="24" t="s">
        <v>37</v>
      </c>
    </row>
    <row r="45" spans="1:25" ht="25.5">
      <c r="A45" s="10">
        <v>1044</v>
      </c>
      <c r="B45" s="9">
        <v>31</v>
      </c>
      <c r="C45" s="26" t="s">
        <v>102</v>
      </c>
      <c r="D45" s="11" t="s">
        <v>81</v>
      </c>
      <c r="E45" s="3" t="s">
        <v>79</v>
      </c>
      <c r="F45" s="28" t="s">
        <v>34</v>
      </c>
      <c r="G45" s="14" t="s">
        <v>37</v>
      </c>
      <c r="H45" s="27" t="s">
        <v>143</v>
      </c>
      <c r="I45" s="22" t="s">
        <v>36</v>
      </c>
      <c r="J45" s="22">
        <f t="shared" si="1"/>
        <v>82</v>
      </c>
      <c r="K45" s="22">
        <f t="shared" si="0"/>
        <v>18</v>
      </c>
      <c r="L45" s="21">
        <v>1</v>
      </c>
      <c r="M45" s="21">
        <v>1</v>
      </c>
      <c r="N45" s="22">
        <v>0</v>
      </c>
      <c r="O45" s="22">
        <v>0</v>
      </c>
      <c r="P45" s="22">
        <v>1</v>
      </c>
      <c r="Q45" s="9" t="s">
        <v>36</v>
      </c>
      <c r="R45" s="9" t="s">
        <v>37</v>
      </c>
      <c r="S45" s="25" t="s">
        <v>147</v>
      </c>
      <c r="W45" s="24" t="s">
        <v>37</v>
      </c>
      <c r="Y45" s="24" t="s">
        <v>37</v>
      </c>
    </row>
    <row r="46" spans="1:25" ht="60">
      <c r="A46" s="10">
        <v>1045</v>
      </c>
      <c r="B46" s="9">
        <v>32</v>
      </c>
      <c r="C46" s="26" t="s">
        <v>102</v>
      </c>
      <c r="D46" s="11" t="s">
        <v>81</v>
      </c>
      <c r="E46" s="3" t="s">
        <v>80</v>
      </c>
      <c r="F46" s="28" t="s">
        <v>34</v>
      </c>
      <c r="G46" s="14" t="s">
        <v>37</v>
      </c>
      <c r="H46" s="27" t="s">
        <v>144</v>
      </c>
      <c r="I46" s="22" t="s">
        <v>36</v>
      </c>
      <c r="J46" s="22">
        <f t="shared" si="1"/>
        <v>48</v>
      </c>
      <c r="K46" s="22">
        <f t="shared" si="0"/>
        <v>21</v>
      </c>
      <c r="L46" s="21">
        <v>1</v>
      </c>
      <c r="M46" s="21">
        <v>1</v>
      </c>
      <c r="N46" s="22">
        <v>0</v>
      </c>
      <c r="O46" s="22">
        <v>0</v>
      </c>
      <c r="P46" s="22">
        <v>1</v>
      </c>
      <c r="Q46" s="9" t="s">
        <v>37</v>
      </c>
      <c r="S46" s="25"/>
      <c r="W46" s="24" t="s">
        <v>37</v>
      </c>
      <c r="Y46" s="24" t="s">
        <v>37</v>
      </c>
    </row>
    <row r="47" spans="1:25">
      <c r="A47" s="10"/>
      <c r="C47" s="30"/>
      <c r="F47" s="14"/>
      <c r="G47" s="14"/>
      <c r="I47" s="22"/>
      <c r="J47" s="22"/>
      <c r="K47" s="22"/>
      <c r="L47" s="22"/>
      <c r="M47" s="22"/>
      <c r="N47" s="22"/>
      <c r="O47" s="22"/>
      <c r="P47" s="22"/>
    </row>
    <row r="48" spans="1:25">
      <c r="A48" s="10"/>
      <c r="C48" s="30"/>
      <c r="F48" s="14"/>
      <c r="G48" s="14"/>
      <c r="I48" s="22"/>
      <c r="J48" s="22"/>
      <c r="K48" s="22"/>
      <c r="L48" s="22"/>
      <c r="M48" s="22"/>
      <c r="N48" s="22"/>
      <c r="O48" s="22"/>
      <c r="P48" s="22"/>
    </row>
    <row r="49" spans="1:16">
      <c r="A49" s="10"/>
      <c r="C49" s="30"/>
      <c r="F49" s="14"/>
      <c r="G49" s="14"/>
      <c r="I49" s="22"/>
      <c r="J49" s="22"/>
      <c r="K49" s="22"/>
      <c r="L49" s="22"/>
      <c r="M49" s="22"/>
      <c r="N49" s="22"/>
      <c r="O49" s="22"/>
      <c r="P49" s="22"/>
    </row>
    <row r="50" spans="1:16">
      <c r="A50" s="10"/>
      <c r="C50" s="30"/>
      <c r="F50" s="14"/>
      <c r="G50" s="14"/>
      <c r="I50" s="22"/>
      <c r="J50" s="22"/>
      <c r="K50" s="22"/>
      <c r="L50" s="22"/>
      <c r="M50" s="22"/>
      <c r="N50" s="22"/>
      <c r="O50" s="22"/>
      <c r="P50" s="22"/>
    </row>
    <row r="51" spans="1:16">
      <c r="A51" s="10"/>
      <c r="C51" s="30"/>
      <c r="F51" s="14"/>
      <c r="G51" s="14"/>
      <c r="I51" s="22"/>
      <c r="J51" s="22"/>
      <c r="K51" s="22"/>
      <c r="L51" s="22"/>
      <c r="M51" s="22"/>
      <c r="N51" s="22"/>
      <c r="O51" s="22"/>
      <c r="P51" s="22"/>
    </row>
    <row r="52" spans="1:16">
      <c r="A52" s="10"/>
      <c r="C52" s="30"/>
      <c r="F52" s="14"/>
      <c r="G52" s="14"/>
      <c r="I52" s="22"/>
      <c r="J52" s="22"/>
      <c r="K52" s="22"/>
      <c r="L52" s="22"/>
      <c r="M52" s="22"/>
      <c r="N52" s="22"/>
      <c r="O52" s="22"/>
      <c r="P52" s="22"/>
    </row>
    <row r="53" spans="1:16">
      <c r="A53" s="10"/>
      <c r="C53" s="30"/>
      <c r="F53" s="14"/>
      <c r="G53" s="14"/>
      <c r="I53" s="22"/>
      <c r="J53" s="22"/>
      <c r="K53" s="22"/>
      <c r="L53" s="22"/>
      <c r="M53" s="22"/>
      <c r="N53" s="22"/>
      <c r="O53" s="22"/>
      <c r="P53" s="22"/>
    </row>
    <row r="54" spans="1:16">
      <c r="A54" s="10"/>
      <c r="C54" s="30"/>
      <c r="G54" s="14"/>
      <c r="I54" s="22"/>
      <c r="J54" s="22"/>
      <c r="K54" s="22"/>
      <c r="L54" s="22"/>
      <c r="M54" s="22"/>
      <c r="N54" s="22"/>
      <c r="O54" s="22"/>
      <c r="P54" s="22"/>
    </row>
    <row r="55" spans="1:16">
      <c r="A55" s="10"/>
      <c r="C55" s="30"/>
      <c r="G55" s="14"/>
      <c r="I55" s="22"/>
      <c r="J55" s="22"/>
      <c r="K55" s="22"/>
      <c r="L55" s="22"/>
      <c r="M55" s="22"/>
      <c r="N55" s="22"/>
      <c r="O55" s="22"/>
      <c r="P55" s="22"/>
    </row>
    <row r="56" spans="1:16">
      <c r="A56" s="10"/>
      <c r="C56" s="30"/>
      <c r="G56" s="14"/>
      <c r="I56" s="22"/>
      <c r="J56" s="22"/>
      <c r="K56" s="22"/>
      <c r="L56" s="22"/>
      <c r="M56" s="22"/>
      <c r="N56" s="22"/>
      <c r="O56" s="22"/>
      <c r="P56" s="22"/>
    </row>
    <row r="57" spans="1:16">
      <c r="A57" s="10"/>
      <c r="C57" s="30"/>
      <c r="G57" s="14"/>
      <c r="I57" s="22"/>
      <c r="J57" s="22"/>
      <c r="K57" s="22"/>
      <c r="L57" s="22"/>
      <c r="M57" s="22"/>
      <c r="N57" s="22"/>
      <c r="O57" s="22"/>
      <c r="P57" s="22"/>
    </row>
    <row r="58" spans="1:16">
      <c r="A58" s="10"/>
      <c r="C58" s="30"/>
      <c r="G58" s="14"/>
      <c r="I58" s="22"/>
      <c r="J58" s="22"/>
      <c r="K58" s="22"/>
      <c r="L58" s="22"/>
      <c r="M58" s="22"/>
      <c r="N58" s="22"/>
      <c r="O58" s="22"/>
      <c r="P58" s="22"/>
    </row>
    <row r="59" spans="1:16">
      <c r="A59" s="10"/>
      <c r="C59" s="30"/>
      <c r="G59" s="14"/>
      <c r="I59" s="22"/>
      <c r="J59" s="22"/>
      <c r="K59" s="22"/>
      <c r="L59" s="22"/>
      <c r="M59" s="22"/>
      <c r="N59" s="22"/>
      <c r="O59" s="22"/>
      <c r="P59" s="22"/>
    </row>
    <row r="60" spans="1:16">
      <c r="A60" s="10"/>
      <c r="C60" s="30"/>
      <c r="G60" s="14"/>
      <c r="I60" s="22"/>
      <c r="J60" s="22"/>
      <c r="K60" s="22"/>
      <c r="L60" s="22"/>
      <c r="M60" s="22"/>
      <c r="N60" s="22"/>
      <c r="O60" s="22"/>
      <c r="P60" s="22"/>
    </row>
    <row r="61" spans="1:16">
      <c r="A61" s="10"/>
      <c r="C61" s="30"/>
      <c r="G61" s="14"/>
      <c r="I61" s="22"/>
      <c r="J61" s="22"/>
      <c r="K61" s="22"/>
      <c r="L61" s="22"/>
      <c r="M61" s="22"/>
      <c r="N61" s="22"/>
      <c r="O61" s="22"/>
      <c r="P61" s="22"/>
    </row>
    <row r="62" spans="1:16">
      <c r="A62" s="10"/>
      <c r="C62" s="30"/>
      <c r="G62" s="14"/>
      <c r="I62" s="22"/>
      <c r="J62" s="22"/>
      <c r="K62" s="22"/>
      <c r="L62" s="22"/>
      <c r="M62" s="22"/>
      <c r="N62" s="22"/>
      <c r="O62" s="22"/>
      <c r="P62" s="22"/>
    </row>
    <row r="63" spans="1:16">
      <c r="A63" s="10"/>
      <c r="C63" s="30"/>
      <c r="G63" s="14"/>
      <c r="I63" s="22"/>
      <c r="J63" s="22"/>
      <c r="K63" s="22"/>
      <c r="L63" s="22"/>
      <c r="M63" s="22"/>
      <c r="N63" s="22"/>
      <c r="O63" s="22"/>
      <c r="P63" s="22"/>
    </row>
    <row r="64" spans="1:16">
      <c r="A64" s="10"/>
      <c r="C64" s="30"/>
      <c r="G64" s="14"/>
      <c r="I64" s="22"/>
      <c r="J64" s="22"/>
      <c r="K64" s="22"/>
      <c r="L64" s="22"/>
      <c r="M64" s="22"/>
      <c r="N64" s="22"/>
      <c r="O64" s="22"/>
      <c r="P64" s="22"/>
    </row>
    <row r="65" spans="1:19">
      <c r="A65" s="10"/>
      <c r="C65" s="30"/>
      <c r="G65" s="14"/>
      <c r="I65" s="22"/>
      <c r="J65" s="22"/>
      <c r="K65" s="22"/>
      <c r="L65" s="22"/>
      <c r="M65" s="22"/>
      <c r="N65" s="22"/>
      <c r="O65" s="22"/>
      <c r="P65" s="22"/>
    </row>
    <row r="66" spans="1:19">
      <c r="A66" s="10"/>
      <c r="C66" s="30"/>
      <c r="G66" s="14"/>
      <c r="I66" s="22"/>
      <c r="J66" s="22"/>
      <c r="K66" s="22"/>
      <c r="L66" s="22"/>
      <c r="M66" s="22"/>
      <c r="N66" s="22"/>
      <c r="O66" s="22"/>
      <c r="P66" s="22"/>
    </row>
    <row r="67" spans="1:19">
      <c r="A67" s="10"/>
      <c r="C67" s="30"/>
      <c r="G67" s="14"/>
      <c r="I67" s="22"/>
      <c r="J67" s="22"/>
      <c r="K67" s="22"/>
      <c r="L67" s="22"/>
      <c r="M67" s="22"/>
      <c r="N67" s="22"/>
      <c r="O67" s="22"/>
      <c r="P67" s="22"/>
    </row>
    <row r="68" spans="1:19">
      <c r="A68" s="10"/>
      <c r="C68" s="30"/>
      <c r="G68" s="14"/>
      <c r="I68" s="22"/>
      <c r="J68" s="22"/>
      <c r="K68" s="22"/>
      <c r="L68" s="22"/>
      <c r="M68" s="22"/>
      <c r="N68" s="22"/>
      <c r="O68" s="22"/>
      <c r="P68" s="22"/>
    </row>
    <row r="69" spans="1:19">
      <c r="A69" s="10"/>
      <c r="C69" s="30"/>
      <c r="G69" s="14"/>
      <c r="I69" s="22"/>
      <c r="J69" s="22"/>
      <c r="K69" s="22"/>
      <c r="L69" s="22"/>
      <c r="M69" s="22"/>
      <c r="N69" s="22"/>
      <c r="O69" s="22"/>
      <c r="P69" s="22"/>
    </row>
    <row r="70" spans="1:19">
      <c r="A70" s="10"/>
      <c r="C70" s="30"/>
      <c r="G70" s="14"/>
      <c r="I70" s="22"/>
      <c r="J70" s="22"/>
      <c r="K70" s="22"/>
      <c r="L70" s="22"/>
      <c r="M70" s="22"/>
      <c r="N70" s="22"/>
      <c r="O70" s="22"/>
      <c r="P70" s="22"/>
    </row>
    <row r="71" spans="1:19">
      <c r="A71" s="10"/>
      <c r="C71" s="30"/>
      <c r="G71" s="14"/>
      <c r="I71" s="22"/>
      <c r="J71" s="22"/>
      <c r="K71" s="22"/>
      <c r="L71" s="22"/>
      <c r="M71" s="22"/>
      <c r="N71" s="22"/>
      <c r="O71" s="22"/>
      <c r="P71" s="22"/>
    </row>
    <row r="72" spans="1:19">
      <c r="A72" s="10"/>
      <c r="C72" s="30"/>
      <c r="G72" s="14"/>
      <c r="I72" s="22"/>
      <c r="J72" s="22"/>
      <c r="K72" s="22"/>
      <c r="L72" s="22"/>
      <c r="M72" s="22"/>
      <c r="N72" s="22"/>
      <c r="O72" s="22"/>
      <c r="P72" s="22"/>
      <c r="S72" s="13"/>
    </row>
    <row r="73" spans="1:19">
      <c r="A73" s="10"/>
      <c r="C73" s="30"/>
      <c r="G73" s="14"/>
      <c r="I73" s="22"/>
      <c r="J73" s="22"/>
      <c r="K73" s="22"/>
      <c r="L73" s="22"/>
      <c r="M73" s="22"/>
      <c r="N73" s="22"/>
      <c r="O73" s="22"/>
      <c r="P73" s="22"/>
    </row>
    <row r="74" spans="1:19">
      <c r="A74" s="10"/>
      <c r="C74" s="30"/>
      <c r="G74" s="14"/>
      <c r="I74" s="22"/>
      <c r="J74" s="22"/>
      <c r="K74" s="22"/>
      <c r="L74" s="22"/>
      <c r="M74" s="22"/>
      <c r="N74" s="22"/>
      <c r="O74" s="22"/>
      <c r="P74" s="22"/>
    </row>
    <row r="75" spans="1:19">
      <c r="A75" s="10"/>
      <c r="C75" s="30"/>
      <c r="G75" s="14"/>
      <c r="I75" s="22"/>
      <c r="J75" s="22"/>
      <c r="K75" s="22"/>
      <c r="L75" s="22"/>
      <c r="M75" s="22"/>
      <c r="N75" s="22"/>
      <c r="O75" s="22"/>
      <c r="P75" s="22"/>
    </row>
    <row r="76" spans="1:19">
      <c r="A76" s="10"/>
      <c r="C76" s="30"/>
      <c r="G76" s="14"/>
      <c r="I76" s="22"/>
      <c r="J76" s="22"/>
      <c r="K76" s="22"/>
      <c r="L76" s="22"/>
      <c r="M76" s="22"/>
      <c r="N76" s="22"/>
      <c r="O76" s="22"/>
      <c r="P76" s="22"/>
    </row>
    <row r="77" spans="1:19">
      <c r="A77" s="10"/>
      <c r="C77" s="30"/>
      <c r="G77" s="14"/>
      <c r="I77" s="22"/>
      <c r="J77" s="22"/>
      <c r="K77" s="22"/>
      <c r="L77" s="22"/>
      <c r="M77" s="22"/>
      <c r="N77" s="22"/>
      <c r="O77" s="22"/>
      <c r="P77" s="22"/>
    </row>
    <row r="78" spans="1:19">
      <c r="A78" s="10"/>
      <c r="C78" s="30"/>
      <c r="G78" s="14"/>
      <c r="I78" s="22"/>
      <c r="J78" s="22"/>
      <c r="K78" s="22"/>
      <c r="L78" s="22"/>
      <c r="M78" s="22"/>
      <c r="N78" s="22"/>
      <c r="O78" s="22"/>
      <c r="P78" s="22"/>
    </row>
    <row r="79" spans="1:19">
      <c r="A79" s="10"/>
      <c r="C79" s="30"/>
      <c r="G79" s="14"/>
      <c r="I79" s="22"/>
      <c r="J79" s="22"/>
      <c r="K79" s="22"/>
      <c r="L79" s="22"/>
      <c r="M79" s="22"/>
      <c r="N79" s="22"/>
      <c r="O79" s="22"/>
      <c r="P79" s="22"/>
    </row>
    <row r="80" spans="1:19">
      <c r="A80" s="10"/>
      <c r="C80" s="30"/>
      <c r="F80" s="14"/>
      <c r="G80" s="14"/>
      <c r="I80" s="22"/>
      <c r="J80" s="22"/>
      <c r="K80" s="22"/>
      <c r="L80" s="22"/>
      <c r="M80" s="22"/>
      <c r="N80" s="22"/>
      <c r="O80" s="22"/>
      <c r="P80" s="22"/>
    </row>
  </sheetData>
  <autoFilter ref="A1:Z46"/>
  <conditionalFormatting sqref="T1">
    <cfRule type="expression" dxfId="2" priority="3">
      <formula>MOD(ROW(),2)=0</formula>
    </cfRule>
  </conditionalFormatting>
  <conditionalFormatting sqref="U1">
    <cfRule type="expression" dxfId="1" priority="2">
      <formula>MOD(ROW(),2)=0</formula>
    </cfRule>
  </conditionalFormatting>
  <conditionalFormatting sqref="W1">
    <cfRule type="expression" dxfId="0" priority="1">
      <formula>MOD(ROW(),2)=0</formula>
    </cfRule>
  </conditionalFormatting>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A3" sqref="A3"/>
    </sheetView>
  </sheetViews>
  <sheetFormatPr defaultRowHeight="12.75"/>
  <sheetData>
    <row r="1" spans="1:2">
      <c r="A1" t="s">
        <v>82</v>
      </c>
    </row>
    <row r="2" spans="1:2">
      <c r="A2" s="10">
        <v>1001</v>
      </c>
    </row>
    <row r="3" spans="1:2">
      <c r="A3" s="10">
        <v>1002</v>
      </c>
    </row>
    <row r="4" spans="1:2">
      <c r="A4" s="10">
        <v>1003</v>
      </c>
    </row>
    <row r="5" spans="1:2">
      <c r="A5" s="10">
        <v>1004</v>
      </c>
    </row>
    <row r="6" spans="1:2">
      <c r="A6" s="10">
        <v>1009</v>
      </c>
    </row>
    <row r="7" spans="1:2">
      <c r="A7" s="10">
        <v>1011</v>
      </c>
      <c r="B7" s="2"/>
    </row>
    <row r="8" spans="1:2">
      <c r="A8" s="10">
        <v>1013</v>
      </c>
      <c r="B8" s="2"/>
    </row>
    <row r="9" spans="1:2">
      <c r="A9" s="10">
        <v>1018</v>
      </c>
      <c r="B9" s="2"/>
    </row>
    <row r="10" spans="1:2">
      <c r="A10" s="10">
        <v>1020</v>
      </c>
      <c r="B10" s="2"/>
    </row>
    <row r="11" spans="1:2">
      <c r="A11" s="10">
        <v>1023</v>
      </c>
      <c r="B11" s="2"/>
    </row>
    <row r="12" spans="1:2">
      <c r="A12" s="10">
        <v>1033</v>
      </c>
      <c r="B12" s="2"/>
    </row>
    <row r="13" spans="1:2">
      <c r="A13" s="10">
        <v>1037</v>
      </c>
      <c r="B13" s="2"/>
    </row>
    <row r="14" spans="1:2">
      <c r="A14" s="10">
        <v>1041</v>
      </c>
      <c r="B14" s="2"/>
    </row>
    <row r="15" spans="1:2">
      <c r="A15" s="10">
        <v>1043</v>
      </c>
      <c r="B15" s="2"/>
    </row>
    <row r="16" spans="1:2">
      <c r="A16" s="20">
        <v>1046</v>
      </c>
      <c r="B16" s="2"/>
    </row>
    <row r="17" spans="2:2">
      <c r="B17" s="2"/>
    </row>
    <row r="18" spans="2:2">
      <c r="B18" s="2"/>
    </row>
    <row r="19" spans="2:2">
      <c r="B19" s="2"/>
    </row>
    <row r="20" spans="2:2">
      <c r="B20" s="2"/>
    </row>
    <row r="21" spans="2:2">
      <c r="B21" s="2"/>
    </row>
    <row r="22" spans="2:2">
      <c r="B2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0.28515625" defaultRowHeight="12.75"/>
  <sheetData/>
  <pageMargins left="0.74791666666666667" right="0.74791666666666667" top="0.98402777777777783" bottom="0.98402777777777783" header="0.51180555555555562" footer="0.51180555555555562"/>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B7" sqref="B7"/>
    </sheetView>
  </sheetViews>
  <sheetFormatPr defaultColWidth="10.28515625" defaultRowHeight="12.75"/>
  <cols>
    <col min="1" max="1" width="19.85546875" customWidth="1"/>
    <col min="2" max="2" width="163.5703125" customWidth="1"/>
  </cols>
  <sheetData>
    <row r="1" spans="1:2">
      <c r="A1" s="1" t="s">
        <v>18</v>
      </c>
    </row>
    <row r="2" spans="1:2">
      <c r="A2" t="s">
        <v>19</v>
      </c>
      <c r="B2" t="s">
        <v>21</v>
      </c>
    </row>
    <row r="3" spans="1:2">
      <c r="B3" t="s">
        <v>20</v>
      </c>
    </row>
  </sheetData>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surveyQuestion</vt:lpstr>
      <vt:lpstr>Sheet1</vt:lpstr>
      <vt:lpstr>Sheet2</vt:lpstr>
      <vt:lpstr>note</vt:lpstr>
      <vt:lpstr>Excel_BuiltIn__FilterDatabase_1</vt:lpstr>
      <vt:lpstr>SKIP_Y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dc:creator>
  <cp:lastModifiedBy>My Computer</cp:lastModifiedBy>
  <cp:revision>0</cp:revision>
  <cp:lastPrinted>1601-01-01T00:00:00Z</cp:lastPrinted>
  <dcterms:created xsi:type="dcterms:W3CDTF">2005-10-17T17:27:43Z</dcterms:created>
  <dcterms:modified xsi:type="dcterms:W3CDTF">2014-09-08T16:28:27Z</dcterms:modified>
</cp:coreProperties>
</file>