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ostco majors\Downloads\"/>
    </mc:Choice>
  </mc:AlternateContent>
  <bookViews>
    <workbookView xWindow="0" yWindow="0" windowWidth="20490" windowHeight="8595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surveyQuestion!$A$1:$Z$17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J6" i="1" l="1"/>
  <c r="K6" i="1"/>
  <c r="Q6" i="1"/>
  <c r="Q17" i="1" l="1"/>
  <c r="Q15" i="1"/>
  <c r="Q14" i="1"/>
  <c r="Q13" i="1"/>
  <c r="Q12" i="1"/>
  <c r="Q10" i="1"/>
  <c r="Q9" i="1"/>
  <c r="Q7" i="1"/>
  <c r="Q5" i="1"/>
  <c r="Q3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5" i="1"/>
  <c r="J5" i="1"/>
  <c r="K4" i="1"/>
  <c r="J4" i="1"/>
  <c r="K3" i="1"/>
  <c r="J3" i="1"/>
  <c r="Q2" i="1"/>
  <c r="K2" i="1"/>
  <c r="J2" i="1"/>
</calcChain>
</file>

<file path=xl/sharedStrings.xml><?xml version="1.0" encoding="utf-8"?>
<sst xmlns="http://schemas.openxmlformats.org/spreadsheetml/2006/main" count="173" uniqueCount="100">
  <si>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</si>
  <si>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</si>
  <si>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</si>
  <si>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</si>
  <si>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</si>
  <si>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</si>
  <si>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</si>
  <si>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</si>
  <si>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</si>
  <si>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</si>
  <si>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</si>
  <si>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</si>
  <si>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</si>
  <si>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</si>
  <si>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</si>
  <si>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</si>
  <si>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</si>
  <si>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</si>
  <si>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</si>
  <si>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</si>
  <si>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</si>
  <si>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</si>
  <si>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</si>
  <si>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N</t>
  </si>
  <si>
    <t>CommentType</t>
  </si>
  <si>
    <t>Y/N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</si>
  <si>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</si>
  <si>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</si>
  <si>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</si>
  <si>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</si>
  <si>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</si>
  <si>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</si>
  <si>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Section 1</t>
  </si>
  <si>
    <t>Made in USA (unmanufactured)</t>
  </si>
  <si>
    <t>NULL</t>
  </si>
  <si>
    <t>Section 2</t>
  </si>
  <si>
    <t>Made in qualifying country</t>
  </si>
  <si>
    <t>Is the &lt;b&gt;unmanufactured product&lt;/b&gt; [partnumber]  wholly mined or produced in a &lt;b&gt;qualifying country&lt;/b&gt;?</t>
  </si>
  <si>
    <t>Section 3</t>
  </si>
  <si>
    <t>In which &lt;b&gt;qualifying country&lt;/b&gt; Is the &lt;b&gt;unmanufactured product&lt;/b&gt; [partnumber]  wholly mined or produced?</t>
  </si>
  <si>
    <t>Section 4</t>
  </si>
  <si>
    <t>Is the &lt;b&gt;unmanufactured product&lt;/b&gt; [partnumber] wholly mined or produced outside of the &lt;b&gt;United States territory&lt;/b&gt; or &lt;b&gt;qualifying country&lt;/b&gt;?</t>
  </si>
  <si>
    <t>Section 5</t>
  </si>
  <si>
    <t>In which &lt;b&gt;country&lt;/b&gt; is the &lt;b&gt;unmanufactured product&lt;/b&gt; [partnumber] mined or produced?</t>
  </si>
  <si>
    <t>Section 6</t>
  </si>
  <si>
    <t>Is the &lt;b&gt;end product&lt;/b&gt;  [partnumber] manufactured (substantially transformed) in the &lt;b&gt;United States or U.S. territory&lt;/b&gt;?</t>
  </si>
  <si>
    <t>Section 7</t>
  </si>
  <si>
    <t>In which &lt;b&gt;U.S. territory&lt;/b&gt; is the &lt;b&gt;end product&lt;/b&gt; [partnumber] manufactured (substantially transformed)?</t>
  </si>
  <si>
    <t>Section 8</t>
  </si>
  <si>
    <t>Do the &lt;b&gt;cost of the components&lt;/b&gt; of the &lt;b&gt;end product&lt;/b&gt; [partnumber], which were mined, produced, or manufactured in the United States, &lt;u&gt;plus &lt;/u&gt;the &lt;b&gt;cost of the components&lt;/b&gt; of the &lt;b&gt;end product&lt;/b&gt; which were mined, produced, or manufactured in any qualifying country, exceed 50% of the combined cost of all of the end product's components? If the End Product fits the definition for a COTS exception for the Buy American Act, please select COTS..</t>
  </si>
  <si>
    <t>Section 9</t>
  </si>
  <si>
    <t>Is the &lt;b&gt;end product&lt;/b&gt;  [partnumber] manufactured (substantially transformed) in a &lt;b&gt;qualifying country&lt;/b&gt;?</t>
  </si>
  <si>
    <t>Section 10</t>
  </si>
  <si>
    <t>In which &lt;b&gt;qualifying country&lt;/b&gt; is the &lt;b&gt;end product&lt;/b&gt; [partnumber] manufactured (substantially transformed)?</t>
  </si>
  <si>
    <t>Section 11</t>
  </si>
  <si>
    <t>Do the &lt;b&gt;cost of the components&lt;/b&gt; of the &lt;b&gt;end product&lt;/b&gt; [partnumber], which were mined, produced, or manufactured in the United States, &lt;u&gt;plus&lt;/u&gt; the &lt;b&gt;cost of the components&lt;b&gt; of the &lt;b&gt;end product&lt;/b&gt; which were mined, produced, or manufactured in any qualifying country, exceed 50% of the combined cost of all of the end product's components? If the End Product fits the definition for a COTS exception for the Buy American Act, please select COTS.</t>
  </si>
  <si>
    <t>Section 12</t>
  </si>
  <si>
    <t>Has the &lt;b&gt;end product&lt;/b&gt; [partnumber] been manufactured (substantially transformed) into a new and different article in a &lt;b&gt;designated country?&lt;/b&gt;</t>
  </si>
  <si>
    <t>Section 13</t>
  </si>
  <si>
    <t>In which &lt;b&gt;designated country&lt;/b&gt; Is the &lt;b&gt;end product&lt;/b&gt; [partnumber]  manufactured (substantially transformed)?</t>
  </si>
  <si>
    <t>Section 14</t>
  </si>
  <si>
    <t>Has the &lt;b&gt;end product&lt;/b&gt; [partnumber] been manufactured (substantially transformed) into a new and different article in a &lt;b&gt;non-designated country?&lt;/b&gt;</t>
  </si>
  <si>
    <t>Section 15</t>
  </si>
  <si>
    <t>In which &lt;b&gt;non-designated country&lt;/b&gt; Is the &lt;b&gt;end product&lt;/b&gt; [partnumber]  manufactured (substantially transformed)?</t>
  </si>
  <si>
    <t>Section 16</t>
  </si>
  <si>
    <t>You have completed the questionnaire for [partnumber]. Would you like to continue to the next part number [next partnumber]?</t>
  </si>
  <si>
    <t>Buy American Act 2014</t>
  </si>
  <si>
    <t>Y/N/COTS</t>
  </si>
  <si>
    <t>Y</t>
  </si>
  <si>
    <t>Qualifying</t>
  </si>
  <si>
    <t>Non-US</t>
  </si>
  <si>
    <t>Unmanufactured Foreign Country</t>
  </si>
  <si>
    <t>Made in USA (end product)</t>
  </si>
  <si>
    <t>Made in USA (end product) Country</t>
  </si>
  <si>
    <t>COTS or US (end product)</t>
  </si>
  <si>
    <t>Qualifying Country (end product)</t>
  </si>
  <si>
    <t>Designated Country (end product)</t>
  </si>
  <si>
    <t>Partnumber done</t>
  </si>
  <si>
    <t>A</t>
  </si>
  <si>
    <t>M</t>
  </si>
  <si>
    <t>3714=1&amp;3714=1:3722;3714=0&amp;3714=0:3722;3714=2&amp;3714=2:3722;</t>
  </si>
  <si>
    <t>3717=1&amp;3717=1:3722;3717=0&amp;3717=0:3722;3717=2&amp;3717=2:3722;</t>
  </si>
  <si>
    <t>3707=1&amp;3707=1:3722;</t>
  </si>
  <si>
    <t>3708=0&amp;3708=0:3710;</t>
  </si>
  <si>
    <t>3710=0&amp;3710=0:3712;</t>
  </si>
  <si>
    <t>3712=0&amp;3712=0:3715;</t>
  </si>
  <si>
    <t>3715=0&amp;3715=0:3718;</t>
  </si>
  <si>
    <t>3718=0&amp;3718=0:3720;</t>
  </si>
  <si>
    <t>3720=0&amp;3720=0:3722;</t>
  </si>
  <si>
    <t>YN_WARNING_N</t>
  </si>
  <si>
    <t>3709=3&amp;3709=3:3722;</t>
  </si>
  <si>
    <t>3711=3&amp;3711=3:3722;</t>
  </si>
  <si>
    <t>3719=3&amp;3719=3:3722;</t>
  </si>
  <si>
    <r>
      <t xml:space="preserve">dropdown:Australia (AU); Austria (AT); Belgium (BE); Canada (CA); </t>
    </r>
    <r>
      <rPr>
        <b/>
        <sz val="10"/>
        <color rgb="FFFF0000"/>
        <rFont val="Arial"/>
        <family val="2"/>
      </rPr>
      <t>Czech Republic (CZ);</t>
    </r>
    <r>
      <rPr>
        <sz val="10"/>
        <color theme="1"/>
        <rFont val="Arial"/>
        <family val="2"/>
      </rPr>
      <t xml:space="preserve"> Denmark (DK); Egypt (EG); Finland (FI); France (FR); Germany (DE); Greece (GR); Israel (IL); Italy (IT); Luxembourg (LU); Netherlands (NL); Norway (NO); </t>
    </r>
    <r>
      <rPr>
        <b/>
        <sz val="10"/>
        <color rgb="FFFF0000"/>
        <rFont val="Arial"/>
        <family val="2"/>
      </rPr>
      <t>Poland (PL);</t>
    </r>
    <r>
      <rPr>
        <sz val="10"/>
        <color theme="1"/>
        <rFont val="Arial"/>
        <family val="2"/>
      </rPr>
      <t xml:space="preserve"> Portugal (PT); Spain (ES); Sweden (SE); Switzerland (CH); Turkey (TR); United Kingdom (GB) (GB </t>
    </r>
    <r>
      <rPr>
        <b/>
        <sz val="10"/>
        <color rgb="FFFF0000"/>
        <rFont val="Arial"/>
        <family val="2"/>
      </rPr>
      <t>&amp;</t>
    </r>
    <r>
      <rPr>
        <sz val="10"/>
        <color theme="1"/>
        <rFont val="Arial"/>
        <family val="2"/>
      </rPr>
      <t xml:space="preserve"> Northern Ireland)</t>
    </r>
  </si>
  <si>
    <t>dropdown:American Samoa (AS); Guam (GU); Puerto Rico (PR); United States (US);</t>
  </si>
  <si>
    <r>
      <t xml:space="preserve">dropdown:Brazil (BR); China (CN); </t>
    </r>
    <r>
      <rPr>
        <sz val="10"/>
        <rFont val="Arial"/>
        <family val="2"/>
      </rPr>
      <t>India (IN);</t>
    </r>
    <r>
      <rPr>
        <sz val="10"/>
        <color theme="1"/>
        <rFont val="Arial"/>
        <family val="2"/>
      </rPr>
      <t xml:space="preserve"> Indonesia (ID); Malaysia (MY); Philipines (PH); Thailand (TH); Tunisia (TN); </t>
    </r>
    <r>
      <rPr>
        <b/>
        <sz val="10"/>
        <color rgb="FFFF0000"/>
        <rFont val="Arial"/>
        <family val="2"/>
      </rPr>
      <t>Ukraine (UA);</t>
    </r>
    <r>
      <rPr>
        <sz val="10"/>
        <color theme="1"/>
        <rFont val="Arial"/>
        <family val="2"/>
      </rPr>
      <t xml:space="preserve"> Vietnam (VN);</t>
    </r>
  </si>
  <si>
    <r>
      <t xml:space="preserve">dropdown:Afghanistan (AF); Angola (AO); Antigua and Barbuda (AG); Aruba (AW); Bahamas (BS); Bahrain (BH); Bangladesh (BD); Barbados (BB); Belize (BZ); Benin (BJ); Bhutan (BT); </t>
    </r>
    <r>
      <rPr>
        <b/>
        <sz val="10"/>
        <color rgb="FFFF0000"/>
        <rFont val="Arial"/>
        <family val="2"/>
      </rPr>
      <t>Brazil (BR);</t>
    </r>
    <r>
      <rPr>
        <sz val="10"/>
        <color theme="1"/>
        <rFont val="Arial"/>
        <family val="2"/>
      </rPr>
      <t xml:space="preserve"> British Virgin Islands (VG); Bulgaria (BG); Burkina Faso (BF); Burundi (BI); Cambodia (KH); Central African Republic (CF); Chad (TD); Chile (CL); China (CN); </t>
    </r>
    <r>
      <rPr>
        <b/>
        <sz val="10"/>
        <color rgb="FFFF0000"/>
        <rFont val="Arial"/>
        <family val="2"/>
      </rPr>
      <t>Colombia (CO);</t>
    </r>
    <r>
      <rPr>
        <sz val="10"/>
        <color theme="1"/>
        <rFont val="Arial"/>
        <family val="2"/>
      </rPr>
      <t xml:space="preserve"> Comoros (KM); Costa Rica (CR); Cuba (CU); Cyprus (CY); Democratic Republic of Congo (CD or CG); Djibouti (DJ); Dominica (DM); Dominican Republic (DO); East Timor (TP); El Salvador (SV); Equatorial Guinea (GQ); Eritrea (ER); Estonia (EE); Ethiopia (ET); Gambia (GM); Grenada (GD); Guatemala (GT); Guinea (GN); Guinea Bissau (GW); Guyana (GY); Haiti (HT); Honduras (HN); Hong Kong (HK); Hungary (HU); Iceland (IS); India (IN); Indonesia (ID); Iran (IR); Ireland (IE); Jamaica (JM); Japan (JP); Kiribati (KI); Korea (Republic of) (KR); Laos (LA); Latvia (LV); Lesotho (LS); Liberia (LR); Liechtenstein (LI); Lithuania (LT); Madagascar (MG); Malawi (MW); Malaysia (MY); Maldives (MV); Mali (ML); Malta (MT); </t>
    </r>
    <r>
      <rPr>
        <b/>
        <sz val="10"/>
        <color rgb="FFFF0000"/>
        <rFont val="Arial"/>
        <family val="2"/>
      </rPr>
      <t>Mauretania (MR);</t>
    </r>
    <r>
      <rPr>
        <sz val="10"/>
        <color theme="1"/>
        <rFont val="Arial"/>
        <family val="2"/>
      </rPr>
      <t xml:space="preserve"> Mexico (MX); Montserrat (MS); Morocco (MA); Mozambique (MZ); Nepal (NP); Netherlands Antilles (AN); Nicaragua (NI); Niger (NE); North Korea (KP); Oman (OM); </t>
    </r>
    <r>
      <rPr>
        <b/>
        <sz val="10"/>
        <color rgb="FFFF0000"/>
        <rFont val="Arial"/>
        <family val="2"/>
      </rPr>
      <t>Panama (PA);</t>
    </r>
    <r>
      <rPr>
        <sz val="10"/>
        <color theme="1"/>
        <rFont val="Arial"/>
        <family val="2"/>
      </rPr>
      <t xml:space="preserve"> Peru (PE); Philipines (PH); Romania (RO); </t>
    </r>
    <r>
      <rPr>
        <b/>
        <sz val="10"/>
        <color rgb="FFFF0000"/>
        <rFont val="Arial"/>
        <family val="2"/>
      </rPr>
      <t>Rwanda (RW);</t>
    </r>
    <r>
      <rPr>
        <sz val="10"/>
        <color theme="1"/>
        <rFont val="Arial"/>
        <family val="2"/>
      </rPr>
      <t xml:space="preserve"> Samoa (WS); Sao Tome and Principe (ST); Senegal (SN); Sierra Leone (SL); Singapore (SG); Slovak Republic (SK); Slovenia (SI); Solomon Islands (SB); Somalia (SO); St. Kitts and Nevis (KN); St. Lucia (LC); St. Vincent and the Grenadines (VC); Sudan (SD); Syria (SY); Taiwan (TW); Tanzania (TZ); Thailand (TH); Togo (TG); Trinidad and Tobago (TT); Tunisia (TN); Tuvalu (TV); Uganda (UG); </t>
    </r>
    <r>
      <rPr>
        <b/>
        <sz val="10"/>
        <color rgb="FFFF0000"/>
        <rFont val="Arial"/>
        <family val="2"/>
      </rPr>
      <t>Ukraine (UA);</t>
    </r>
    <r>
      <rPr>
        <sz val="10"/>
        <color theme="1"/>
        <rFont val="Arial"/>
        <family val="2"/>
      </rPr>
      <t xml:space="preserve"> Vanuatu (VU); Vietnam (VN); Yemen (YE); Zambia (ZM);</t>
    </r>
  </si>
  <si>
    <r>
      <t xml:space="preserve">dropdown:Afghanistan (AF); Angola (AO); Antigua and Barbuda (AG); Aruba (AW); Bahamas (BS); Bahrain (BH); Bangladesh (BD); Barbados (BB); Belize (BZ); Benin (BJ); Bhutan (BT); British Virgin Islands (VG); Bulgaria (BG); Burkina Faso (BF); Burundi (BI); Cambodia (KH); Central African Republic (CF); Chad (TD); Chile (CL); </t>
    </r>
    <r>
      <rPr>
        <b/>
        <sz val="10"/>
        <color rgb="FFFF0000"/>
        <rFont val="Arial"/>
        <family val="2"/>
      </rPr>
      <t>Colombia (CO);</t>
    </r>
    <r>
      <rPr>
        <sz val="10"/>
        <color theme="1"/>
        <rFont val="Arial"/>
        <family val="2"/>
      </rPr>
      <t xml:space="preserve"> Comoros (KM); Costa Rica (CR); Cyprus (CY); Democratic Republic of Congo (CD or CG); Djibouti (DJ); Dominica (DM); Dominican Republic (DO); East Timor (TP); El Salvador (SV); Equatorial Guinea (GQ); Eritrea (ER); Estonia (EE); Ethiopia (ET); Gambia (GM); Grenada (GD); Guatemala (GT); Guinea (GN); Guinea Bissau (GW); Guyana (GY); Haiti (HT); Honduras (HN); Hong Kong (HK); Hungary (HU); Iceland (IS); Ireland (IE); Jamaica (JM); Japan (JP); Kiribati (KI); Korea (Republic of) (KR); Laos (LA); Latvia (LV); Lesotho (LS); Liberia (LR); Liechtenstein (LI); Lithuania (LT); Madagascar (MG); Malawi (MW); Maldives (MV); Mali (ML); Malta (MT); </t>
    </r>
    <r>
      <rPr>
        <b/>
        <sz val="10"/>
        <color rgb="FFFF0000"/>
        <rFont val="Arial"/>
        <family val="2"/>
      </rPr>
      <t>Mauretania (MR);</t>
    </r>
    <r>
      <rPr>
        <sz val="10"/>
        <color theme="1"/>
        <rFont val="Arial"/>
        <family val="2"/>
      </rPr>
      <t xml:space="preserve"> Mexico (MX); Montserrat (MS); Morocco (MA); Mozambique (MZ); Nepal (NP); Netherlands Antilles (AN); Nicaragua (NI); Niger (NE); Oman (OM); </t>
    </r>
    <r>
      <rPr>
        <b/>
        <sz val="10"/>
        <color rgb="FFFF0000"/>
        <rFont val="Arial"/>
        <family val="2"/>
      </rPr>
      <t>Panama (PA);</t>
    </r>
    <r>
      <rPr>
        <sz val="10"/>
        <color theme="1"/>
        <rFont val="Arial"/>
        <family val="2"/>
      </rPr>
      <t xml:space="preserve"> Peru (PE); Romania (RO); </t>
    </r>
    <r>
      <rPr>
        <b/>
        <sz val="10"/>
        <color rgb="FFFF0000"/>
        <rFont val="Arial"/>
        <family val="2"/>
      </rPr>
      <t>Rwanda (RW);</t>
    </r>
    <r>
      <rPr>
        <sz val="10"/>
        <color theme="1"/>
        <rFont val="Arial"/>
        <family val="2"/>
      </rPr>
      <t xml:space="preserve"> Samoa (WS); Sao Tome and Principe (ST); Senegal (SN); Sierra Leone (SL); Singapore (SG); Slovak Republic (SK); Slovenia (SI); Solomon Islands (SB); Somalia (SO); St. Kitts and Nevis (KN); St. Lucia (LC); St. Vincent and the Grenadines (VC); Taiwan (TW); Tanzania (TZ); Togo (TG); Trinidad and Tobago (TT); Tuvalu (TV); Uganda (UG); Vanuatu (VU); Yemen (YE); Zambia (ZM);</t>
    </r>
  </si>
  <si>
    <t>If you're not manufacturing in a non-designated country and you've responded NO to all previous questions, please review your answers.  If you're manufacturing in a prohibited country please contact your Commodity Manager.</t>
  </si>
  <si>
    <t>Is the &lt;b&gt;unmanufactured product&lt;/b&gt; [partnumber] wholly mined or produced in the &lt;b&gt;United States or U.S. territory&lt;/b&gt;?
&lt;b&gt;&lt;i&gt;NOTE: If you're manufacturing the product (substantially transforming), answer NO to all unmanufactured questions.
If you're supplying raw material or unmanufactured product, then select appropriate response for unmanufactured questions.&lt;/i&gt;&lt;/b&gt;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</si>
</sst>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name val="宋体"/>
      <family val="2"/>
      <charset val="134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b/>
      <strike/>
      <sz val="10"/>
      <color rgb="FFFF0000"/>
      <name val="Arial"/>
      <family val="2"/>
    </font>
    <font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CCECFF"/>
        <bgColor indexed="64"/>
      </patternFill>
    </fill>
    <fill>
      <patternFill patternType="solid">
        <fgColor rgb="FFCC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8" fillId="0" borderId="0" xfId="0" applyFont="1"/>
    <xf numFmtId="0" fontId="9" fillId="0" borderId="0" xfId="0" applyFont="1"/>
    <xf numFmtId="0" fontId="10" fillId="0" borderId="0" xfId="0" applyFont="1" applyFill="1" applyAlignment="1"/>
    <xf numFmtId="0" fontId="9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7" fillId="0" borderId="0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0" borderId="0" xfId="0" applyNumberFormat="1" applyFont="1" applyFill="1" applyBorder="1" applyAlignment="1">
      <alignment horizontal="left" vertical="center" wrapText="1"/>
    </xf>
    <xf numFmtId="0" fontId="13" fillId="4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abSelected="1" zoomScaleNormal="100" workbookViewId="0">
      <pane xSplit="5" ySplit="1" topLeftCell="F2" activePane="bottomRight" state="frozen"/>
      <selection pane="topRight" activeCell="G1" sqref="G1"/>
      <selection pane="bottomLeft" activeCell="A2" sqref="A2"/>
      <selection pane="bottomRight"/>
    </sheetView>
  </sheetViews>
  <sheetFormatPr defaultColWidth="10.28515625" defaultRowHeight="12.75"/>
  <cols>
    <col min="1" max="1" width="5" style="7" bestFit="1" customWidth="1"/>
    <col min="2" max="2" width="8" style="7" bestFit="1" customWidth="1"/>
    <col min="3" max="3" width="10.42578125" style="15" bestFit="1" customWidth="1"/>
    <col min="4" max="5" width="25.5703125" style="10" customWidth="1"/>
    <col min="6" max="6" width="40.140625" style="10" customWidth="1"/>
    <col min="7" max="7" width="28.140625" style="10" customWidth="1"/>
    <col min="8" max="8" width="12.5703125" style="14" customWidth="1"/>
    <col min="9" max="9" width="11.5703125" style="7" customWidth="1"/>
    <col min="10" max="10" width="9.5703125" style="7" customWidth="1"/>
    <col min="11" max="11" width="13" style="7" customWidth="1"/>
    <col min="12" max="12" width="9.5703125" style="7" customWidth="1"/>
    <col min="13" max="13" width="9.7109375" style="7" customWidth="1"/>
    <col min="14" max="14" width="10.85546875" style="7" customWidth="1"/>
    <col min="15" max="15" width="13.28515625" style="7" customWidth="1"/>
    <col min="16" max="16" width="10.85546875" style="7" customWidth="1"/>
    <col min="17" max="17" width="16.5703125" style="19" customWidth="1"/>
    <col min="18" max="18" width="18.7109375" style="19" bestFit="1" customWidth="1"/>
    <col min="19" max="19" width="19.7109375" style="14" customWidth="1"/>
    <col min="20" max="20" width="29.140625" style="7" bestFit="1" customWidth="1"/>
    <col min="21" max="21" width="24.28515625" style="7" bestFit="1" customWidth="1"/>
    <col min="22" max="22" width="16.5703125" style="19" bestFit="1" customWidth="1"/>
    <col min="23" max="23" width="20.28515625" style="19" bestFit="1" customWidth="1"/>
    <col min="24" max="24" width="10.28515625" style="7"/>
    <col min="25" max="25" width="10.28515625" style="19"/>
    <col min="26" max="16384" width="10.28515625" style="7"/>
  </cols>
  <sheetData>
    <row r="1" spans="1:26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8" t="s">
        <v>15</v>
      </c>
      <c r="R1" s="20" t="s">
        <v>16</v>
      </c>
      <c r="S1" s="6" t="s">
        <v>17</v>
      </c>
      <c r="T1" s="16" t="s">
        <v>30</v>
      </c>
      <c r="U1" s="16" t="s">
        <v>31</v>
      </c>
      <c r="V1" s="20" t="s">
        <v>24</v>
      </c>
      <c r="W1" s="22" t="s">
        <v>26</v>
      </c>
      <c r="X1" s="3" t="s">
        <v>27</v>
      </c>
      <c r="Y1" s="20" t="s">
        <v>28</v>
      </c>
      <c r="Z1" s="3" t="s">
        <v>29</v>
      </c>
    </row>
    <row r="2" spans="1:26" ht="204">
      <c r="A2" s="8">
        <v>3707</v>
      </c>
      <c r="B2" s="7">
        <v>1</v>
      </c>
      <c r="C2" s="9" t="s">
        <v>32</v>
      </c>
      <c r="D2" s="10" t="s">
        <v>66</v>
      </c>
      <c r="E2" s="11" t="s">
        <v>99</v>
      </c>
      <c r="F2" s="23" t="s">
        <v>25</v>
      </c>
      <c r="G2" s="10">
        <v>0</v>
      </c>
      <c r="H2" s="24" t="s">
        <v>33</v>
      </c>
      <c r="I2" s="12">
        <v>1</v>
      </c>
      <c r="J2" s="7">
        <f>LEN(E2)</f>
        <v>373</v>
      </c>
      <c r="K2" s="7">
        <f>LEN(H2)</f>
        <v>28</v>
      </c>
      <c r="L2" s="12">
        <v>1</v>
      </c>
      <c r="M2" s="12">
        <v>0</v>
      </c>
      <c r="N2" s="12">
        <v>-1</v>
      </c>
      <c r="O2" s="12">
        <v>-1</v>
      </c>
      <c r="P2" s="12">
        <v>0</v>
      </c>
      <c r="Q2" s="19" t="str">
        <f>IF(LEN(S2)&gt;0,"Y","N")</f>
        <v>Y</v>
      </c>
      <c r="R2" s="28" t="s">
        <v>68</v>
      </c>
      <c r="S2" s="11" t="s">
        <v>82</v>
      </c>
      <c r="T2" s="37"/>
      <c r="V2" s="21">
        <v>0</v>
      </c>
      <c r="W2" s="19" t="s">
        <v>23</v>
      </c>
      <c r="Y2" s="19" t="s">
        <v>23</v>
      </c>
    </row>
    <row r="3" spans="1:26" ht="63.75">
      <c r="A3" s="8">
        <v>3708</v>
      </c>
      <c r="B3" s="7">
        <v>2</v>
      </c>
      <c r="C3" s="9" t="s">
        <v>35</v>
      </c>
      <c r="D3" s="10" t="s">
        <v>66</v>
      </c>
      <c r="E3" s="11" t="s">
        <v>37</v>
      </c>
      <c r="F3" s="23" t="s">
        <v>25</v>
      </c>
      <c r="G3" s="23">
        <v>0</v>
      </c>
      <c r="H3" s="25" t="s">
        <v>36</v>
      </c>
      <c r="I3" s="12">
        <v>1</v>
      </c>
      <c r="J3" s="7">
        <f t="shared" ref="J3:J17" si="0">LEN(E3)</f>
        <v>107</v>
      </c>
      <c r="K3" s="7">
        <f t="shared" ref="K3:K17" si="1">LEN(H3)</f>
        <v>26</v>
      </c>
      <c r="L3" s="12">
        <v>1</v>
      </c>
      <c r="M3" s="12">
        <v>0</v>
      </c>
      <c r="N3" s="12">
        <v>-1</v>
      </c>
      <c r="O3" s="12">
        <v>-1</v>
      </c>
      <c r="P3" s="12">
        <v>0</v>
      </c>
      <c r="Q3" s="19" t="str">
        <f>IF(LEN(S3)&gt;0,"Y","N")</f>
        <v>Y</v>
      </c>
      <c r="R3" s="28" t="s">
        <v>23</v>
      </c>
      <c r="S3" s="11" t="s">
        <v>83</v>
      </c>
      <c r="V3" s="21">
        <v>0</v>
      </c>
      <c r="W3" s="19" t="s">
        <v>23</v>
      </c>
      <c r="Y3" s="19" t="s">
        <v>23</v>
      </c>
    </row>
    <row r="4" spans="1:26" ht="114.75">
      <c r="A4" s="8">
        <v>3709</v>
      </c>
      <c r="B4" s="7">
        <v>3</v>
      </c>
      <c r="C4" s="9" t="s">
        <v>38</v>
      </c>
      <c r="D4" s="10" t="s">
        <v>66</v>
      </c>
      <c r="E4" s="11" t="s">
        <v>39</v>
      </c>
      <c r="F4" s="35" t="s">
        <v>93</v>
      </c>
      <c r="G4" s="23">
        <v>0</v>
      </c>
      <c r="H4" s="26" t="s">
        <v>69</v>
      </c>
      <c r="I4" s="12">
        <v>1</v>
      </c>
      <c r="J4" s="7">
        <f t="shared" si="0"/>
        <v>111</v>
      </c>
      <c r="K4" s="7">
        <f t="shared" si="1"/>
        <v>10</v>
      </c>
      <c r="L4" s="12">
        <v>1</v>
      </c>
      <c r="M4" s="12">
        <v>0</v>
      </c>
      <c r="N4" s="12">
        <v>-1</v>
      </c>
      <c r="O4" s="12">
        <v>-1</v>
      </c>
      <c r="P4" s="12">
        <v>0</v>
      </c>
      <c r="Q4" s="19" t="s">
        <v>68</v>
      </c>
      <c r="R4" s="29" t="s">
        <v>78</v>
      </c>
      <c r="S4" s="32" t="s">
        <v>90</v>
      </c>
      <c r="V4" s="21">
        <v>0</v>
      </c>
      <c r="W4" s="19" t="s">
        <v>23</v>
      </c>
      <c r="Y4" s="19" t="s">
        <v>23</v>
      </c>
    </row>
    <row r="5" spans="1:26" ht="76.5">
      <c r="A5" s="8">
        <v>3710</v>
      </c>
      <c r="B5" s="7">
        <v>4</v>
      </c>
      <c r="C5" s="9" t="s">
        <v>40</v>
      </c>
      <c r="D5" s="10" t="s">
        <v>66</v>
      </c>
      <c r="E5" s="11" t="s">
        <v>41</v>
      </c>
      <c r="F5" s="23" t="s">
        <v>25</v>
      </c>
      <c r="G5" s="23">
        <v>0</v>
      </c>
      <c r="H5" s="25" t="s">
        <v>70</v>
      </c>
      <c r="I5" s="12">
        <v>1</v>
      </c>
      <c r="J5" s="7">
        <f t="shared" si="0"/>
        <v>150</v>
      </c>
      <c r="K5" s="7">
        <f t="shared" si="1"/>
        <v>6</v>
      </c>
      <c r="L5" s="12">
        <v>1</v>
      </c>
      <c r="M5" s="12">
        <v>0</v>
      </c>
      <c r="N5" s="12">
        <v>-1</v>
      </c>
      <c r="O5" s="12">
        <v>-1</v>
      </c>
      <c r="P5" s="12">
        <v>0</v>
      </c>
      <c r="Q5" s="19" t="str">
        <f>IF(LEN(S5)&gt;0,"Y","N")</f>
        <v>Y</v>
      </c>
      <c r="R5" s="28" t="s">
        <v>23</v>
      </c>
      <c r="S5" s="11" t="s">
        <v>84</v>
      </c>
      <c r="V5" s="21">
        <v>0</v>
      </c>
      <c r="W5" s="19" t="s">
        <v>23</v>
      </c>
      <c r="Y5" s="19" t="s">
        <v>23</v>
      </c>
    </row>
    <row r="6" spans="1:26" ht="397.15" customHeight="1">
      <c r="A6" s="8">
        <v>3711</v>
      </c>
      <c r="B6" s="7">
        <v>5</v>
      </c>
      <c r="C6" s="9" t="s">
        <v>42</v>
      </c>
      <c r="D6" s="10" t="s">
        <v>66</v>
      </c>
      <c r="E6" s="11" t="s">
        <v>43</v>
      </c>
      <c r="F6" s="36" t="s">
        <v>96</v>
      </c>
      <c r="G6" s="23">
        <v>0</v>
      </c>
      <c r="H6" s="25" t="s">
        <v>71</v>
      </c>
      <c r="I6" s="12">
        <v>1</v>
      </c>
      <c r="J6" s="7">
        <f t="shared" si="0"/>
        <v>92</v>
      </c>
      <c r="K6" s="7">
        <f t="shared" si="1"/>
        <v>30</v>
      </c>
      <c r="L6" s="12">
        <v>1</v>
      </c>
      <c r="M6" s="12">
        <v>0</v>
      </c>
      <c r="N6" s="12">
        <v>-1</v>
      </c>
      <c r="O6" s="12">
        <v>-1</v>
      </c>
      <c r="P6" s="12">
        <v>0</v>
      </c>
      <c r="Q6" s="19" t="str">
        <f>IF(LEN(S6)&gt;0,"Y","N")</f>
        <v>Y</v>
      </c>
      <c r="R6" s="29" t="s">
        <v>78</v>
      </c>
      <c r="S6" s="32" t="s">
        <v>91</v>
      </c>
      <c r="V6" s="21">
        <v>0</v>
      </c>
      <c r="W6" s="19" t="s">
        <v>23</v>
      </c>
      <c r="Y6" s="19" t="s">
        <v>23</v>
      </c>
    </row>
    <row r="7" spans="1:26" ht="63.75">
      <c r="A7" s="8">
        <v>3712</v>
      </c>
      <c r="B7" s="7">
        <v>6</v>
      </c>
      <c r="C7" s="9" t="s">
        <v>44</v>
      </c>
      <c r="D7" s="10" t="s">
        <v>66</v>
      </c>
      <c r="E7" s="11" t="s">
        <v>45</v>
      </c>
      <c r="F7" s="23" t="s">
        <v>25</v>
      </c>
      <c r="G7" s="23">
        <v>0</v>
      </c>
      <c r="H7" s="25" t="s">
        <v>72</v>
      </c>
      <c r="I7" s="12">
        <v>1</v>
      </c>
      <c r="J7" s="7">
        <f t="shared" si="0"/>
        <v>127</v>
      </c>
      <c r="K7" s="7">
        <f t="shared" si="1"/>
        <v>25</v>
      </c>
      <c r="L7" s="12">
        <v>1</v>
      </c>
      <c r="M7" s="12">
        <v>0</v>
      </c>
      <c r="N7" s="12">
        <v>-1</v>
      </c>
      <c r="O7" s="12">
        <v>-1</v>
      </c>
      <c r="P7" s="12">
        <v>0</v>
      </c>
      <c r="Q7" s="19" t="str">
        <f>IF(LEN(S7)&gt;0,"Y","N")</f>
        <v>Y</v>
      </c>
      <c r="R7" s="33" t="s">
        <v>23</v>
      </c>
      <c r="S7" s="11" t="s">
        <v>85</v>
      </c>
      <c r="V7" s="21">
        <v>0</v>
      </c>
      <c r="W7" s="19" t="s">
        <v>23</v>
      </c>
      <c r="Y7" s="19" t="s">
        <v>23</v>
      </c>
    </row>
    <row r="8" spans="1:26" ht="63.75">
      <c r="A8" s="8">
        <v>3713</v>
      </c>
      <c r="B8" s="7">
        <v>7</v>
      </c>
      <c r="C8" s="9" t="s">
        <v>46</v>
      </c>
      <c r="D8" s="10" t="s">
        <v>66</v>
      </c>
      <c r="E8" s="11" t="s">
        <v>47</v>
      </c>
      <c r="F8" s="35" t="s">
        <v>94</v>
      </c>
      <c r="G8" s="23">
        <v>0</v>
      </c>
      <c r="H8" s="25" t="s">
        <v>73</v>
      </c>
      <c r="I8" s="12">
        <v>1</v>
      </c>
      <c r="J8" s="7">
        <f t="shared" si="0"/>
        <v>111</v>
      </c>
      <c r="K8" s="7">
        <f t="shared" si="1"/>
        <v>33</v>
      </c>
      <c r="L8" s="12">
        <v>1</v>
      </c>
      <c r="M8" s="12">
        <v>0</v>
      </c>
      <c r="N8" s="12">
        <v>-1</v>
      </c>
      <c r="O8" s="12">
        <v>-1</v>
      </c>
      <c r="P8" s="12">
        <v>0</v>
      </c>
      <c r="Q8" s="21" t="s">
        <v>23</v>
      </c>
      <c r="R8" s="29"/>
      <c r="S8" s="32"/>
      <c r="V8" s="21">
        <v>0</v>
      </c>
      <c r="W8" s="19" t="s">
        <v>23</v>
      </c>
      <c r="Y8" s="19" t="s">
        <v>23</v>
      </c>
    </row>
    <row r="9" spans="1:26" ht="255">
      <c r="A9" s="8">
        <v>3714</v>
      </c>
      <c r="B9" s="7">
        <v>8</v>
      </c>
      <c r="C9" s="9" t="s">
        <v>48</v>
      </c>
      <c r="D9" s="10" t="s">
        <v>66</v>
      </c>
      <c r="E9" s="11" t="s">
        <v>49</v>
      </c>
      <c r="F9" s="31" t="s">
        <v>67</v>
      </c>
      <c r="G9" s="23">
        <v>0</v>
      </c>
      <c r="H9" s="25" t="s">
        <v>74</v>
      </c>
      <c r="I9" s="12">
        <v>1</v>
      </c>
      <c r="J9" s="7">
        <f t="shared" si="0"/>
        <v>464</v>
      </c>
      <c r="K9" s="7">
        <f t="shared" si="1"/>
        <v>24</v>
      </c>
      <c r="L9" s="12">
        <v>1</v>
      </c>
      <c r="M9" s="12">
        <v>0</v>
      </c>
      <c r="N9" s="12">
        <v>-1</v>
      </c>
      <c r="O9" s="12">
        <v>-1</v>
      </c>
      <c r="P9" s="12">
        <v>0</v>
      </c>
      <c r="Q9" s="34" t="str">
        <f>IF(LEN(S9)&gt;0,"Y","N")</f>
        <v>Y</v>
      </c>
      <c r="R9" s="29" t="s">
        <v>79</v>
      </c>
      <c r="S9" s="11" t="s">
        <v>80</v>
      </c>
      <c r="V9" s="21">
        <v>0</v>
      </c>
      <c r="W9" s="19" t="s">
        <v>23</v>
      </c>
      <c r="Y9" s="19" t="s">
        <v>23</v>
      </c>
    </row>
    <row r="10" spans="1:26" ht="63.75">
      <c r="A10" s="8">
        <v>3715</v>
      </c>
      <c r="B10" s="7">
        <v>9</v>
      </c>
      <c r="C10" s="9" t="s">
        <v>50</v>
      </c>
      <c r="D10" s="10" t="s">
        <v>66</v>
      </c>
      <c r="E10" s="11" t="s">
        <v>51</v>
      </c>
      <c r="F10" s="23" t="s">
        <v>25</v>
      </c>
      <c r="G10" s="23">
        <v>0</v>
      </c>
      <c r="H10" s="25" t="s">
        <v>75</v>
      </c>
      <c r="I10" s="12">
        <v>1</v>
      </c>
      <c r="J10" s="7">
        <f t="shared" si="0"/>
        <v>112</v>
      </c>
      <c r="K10" s="7">
        <f t="shared" si="1"/>
        <v>32</v>
      </c>
      <c r="L10" s="12">
        <v>1</v>
      </c>
      <c r="M10" s="12">
        <v>0</v>
      </c>
      <c r="N10" s="12">
        <v>-1</v>
      </c>
      <c r="O10" s="12">
        <v>-1</v>
      </c>
      <c r="P10" s="12">
        <v>0</v>
      </c>
      <c r="Q10" s="19" t="str">
        <f>IF(LEN(S10)&gt;0,"Y","N")</f>
        <v>Y</v>
      </c>
      <c r="R10" s="33" t="s">
        <v>23</v>
      </c>
      <c r="S10" s="11" t="s">
        <v>86</v>
      </c>
      <c r="V10" s="21">
        <v>0</v>
      </c>
      <c r="W10" s="19" t="s">
        <v>23</v>
      </c>
      <c r="Y10" s="19" t="s">
        <v>23</v>
      </c>
    </row>
    <row r="11" spans="1:26" ht="114.75">
      <c r="A11" s="8">
        <v>3716</v>
      </c>
      <c r="B11" s="7">
        <v>10</v>
      </c>
      <c r="C11" s="9" t="s">
        <v>52</v>
      </c>
      <c r="D11" s="10" t="s">
        <v>66</v>
      </c>
      <c r="E11" s="11" t="s">
        <v>53</v>
      </c>
      <c r="F11" s="35" t="s">
        <v>93</v>
      </c>
      <c r="G11" s="23">
        <v>0</v>
      </c>
      <c r="H11" s="25" t="s">
        <v>75</v>
      </c>
      <c r="I11" s="12">
        <v>1</v>
      </c>
      <c r="J11" s="7">
        <f t="shared" si="0"/>
        <v>115</v>
      </c>
      <c r="K11" s="7">
        <f t="shared" si="1"/>
        <v>32</v>
      </c>
      <c r="L11" s="12">
        <v>1</v>
      </c>
      <c r="M11" s="12">
        <v>0</v>
      </c>
      <c r="N11" s="12">
        <v>-1</v>
      </c>
      <c r="O11" s="12">
        <v>-1</v>
      </c>
      <c r="P11" s="12">
        <v>0</v>
      </c>
      <c r="Q11" s="21" t="s">
        <v>23</v>
      </c>
      <c r="R11" s="30"/>
      <c r="S11" s="27"/>
      <c r="V11" s="21">
        <v>0</v>
      </c>
      <c r="W11" s="19" t="s">
        <v>23</v>
      </c>
      <c r="Y11" s="19" t="s">
        <v>23</v>
      </c>
    </row>
    <row r="12" spans="1:26" ht="255">
      <c r="A12" s="8">
        <v>3717</v>
      </c>
      <c r="B12" s="7">
        <v>11</v>
      </c>
      <c r="C12" s="9" t="s">
        <v>54</v>
      </c>
      <c r="D12" s="10" t="s">
        <v>66</v>
      </c>
      <c r="E12" s="11" t="s">
        <v>55</v>
      </c>
      <c r="F12" s="23" t="s">
        <v>67</v>
      </c>
      <c r="G12" s="23">
        <v>0</v>
      </c>
      <c r="H12" s="25" t="s">
        <v>74</v>
      </c>
      <c r="I12" s="12">
        <v>1</v>
      </c>
      <c r="J12" s="7">
        <f t="shared" si="0"/>
        <v>462</v>
      </c>
      <c r="K12" s="7">
        <f t="shared" si="1"/>
        <v>24</v>
      </c>
      <c r="L12" s="12">
        <v>1</v>
      </c>
      <c r="M12" s="12">
        <v>0</v>
      </c>
      <c r="N12" s="12">
        <v>-1</v>
      </c>
      <c r="O12" s="12">
        <v>-1</v>
      </c>
      <c r="P12" s="12">
        <v>0</v>
      </c>
      <c r="Q12" s="19" t="str">
        <f>IF(LEN(S12)&gt;0,"Y","N")</f>
        <v>Y</v>
      </c>
      <c r="R12" s="29" t="s">
        <v>79</v>
      </c>
      <c r="S12" s="11" t="s">
        <v>81</v>
      </c>
      <c r="V12" s="21">
        <v>0</v>
      </c>
      <c r="W12" s="19" t="s">
        <v>23</v>
      </c>
      <c r="Y12" s="19" t="s">
        <v>23</v>
      </c>
    </row>
    <row r="13" spans="1:26" ht="76.5">
      <c r="A13" s="8">
        <v>3718</v>
      </c>
      <c r="B13" s="7">
        <v>12</v>
      </c>
      <c r="C13" s="9" t="s">
        <v>56</v>
      </c>
      <c r="D13" s="10" t="s">
        <v>66</v>
      </c>
      <c r="E13" s="11" t="s">
        <v>57</v>
      </c>
      <c r="F13" s="23" t="s">
        <v>25</v>
      </c>
      <c r="G13" s="23">
        <v>0</v>
      </c>
      <c r="H13" s="25" t="s">
        <v>76</v>
      </c>
      <c r="I13" s="12">
        <v>1</v>
      </c>
      <c r="J13" s="7">
        <f t="shared" si="0"/>
        <v>150</v>
      </c>
      <c r="K13" s="7">
        <f t="shared" si="1"/>
        <v>32</v>
      </c>
      <c r="L13" s="12">
        <v>1</v>
      </c>
      <c r="M13" s="12">
        <v>0</v>
      </c>
      <c r="N13" s="12">
        <v>-1</v>
      </c>
      <c r="O13" s="12">
        <v>-1</v>
      </c>
      <c r="P13" s="12">
        <v>0</v>
      </c>
      <c r="Q13" s="19" t="str">
        <f>IF(LEN(S13)&gt;0,"Y","N")</f>
        <v>Y</v>
      </c>
      <c r="R13" s="28" t="s">
        <v>23</v>
      </c>
      <c r="S13" s="11" t="s">
        <v>87</v>
      </c>
      <c r="V13" s="21">
        <v>0</v>
      </c>
      <c r="W13" s="19" t="s">
        <v>23</v>
      </c>
      <c r="Y13" s="19" t="s">
        <v>23</v>
      </c>
    </row>
    <row r="14" spans="1:26" ht="409.5">
      <c r="A14" s="8">
        <v>3719</v>
      </c>
      <c r="B14" s="7">
        <v>13</v>
      </c>
      <c r="C14" s="13" t="s">
        <v>58</v>
      </c>
      <c r="D14" s="10" t="s">
        <v>66</v>
      </c>
      <c r="E14" s="11" t="s">
        <v>59</v>
      </c>
      <c r="F14" s="36" t="s">
        <v>97</v>
      </c>
      <c r="G14" s="23">
        <v>0</v>
      </c>
      <c r="H14" s="25" t="s">
        <v>76</v>
      </c>
      <c r="I14" s="12">
        <v>1</v>
      </c>
      <c r="J14" s="7">
        <f t="shared" si="0"/>
        <v>116</v>
      </c>
      <c r="K14" s="7">
        <f t="shared" si="1"/>
        <v>32</v>
      </c>
      <c r="L14" s="12">
        <v>1</v>
      </c>
      <c r="M14" s="12">
        <v>0</v>
      </c>
      <c r="N14" s="12">
        <v>-1</v>
      </c>
      <c r="O14" s="12">
        <v>-1</v>
      </c>
      <c r="P14" s="12">
        <v>0</v>
      </c>
      <c r="Q14" s="19" t="str">
        <f>IF(LEN(S14)&gt;0,"Y","N")</f>
        <v>Y</v>
      </c>
      <c r="R14" s="29" t="s">
        <v>78</v>
      </c>
      <c r="S14" s="32" t="s">
        <v>92</v>
      </c>
      <c r="V14" s="21">
        <v>0</v>
      </c>
      <c r="W14" s="19" t="s">
        <v>23</v>
      </c>
      <c r="Y14" s="19" t="s">
        <v>23</v>
      </c>
    </row>
    <row r="15" spans="1:26" ht="102">
      <c r="A15" s="8">
        <v>3720</v>
      </c>
      <c r="B15" s="7">
        <v>14</v>
      </c>
      <c r="C15" s="13" t="s">
        <v>60</v>
      </c>
      <c r="D15" s="10" t="s">
        <v>66</v>
      </c>
      <c r="E15" s="11" t="s">
        <v>61</v>
      </c>
      <c r="F15" s="23" t="s">
        <v>25</v>
      </c>
      <c r="G15" s="10">
        <v>0</v>
      </c>
      <c r="H15" s="25" t="s">
        <v>76</v>
      </c>
      <c r="I15" s="12">
        <v>1</v>
      </c>
      <c r="J15" s="7">
        <f t="shared" si="0"/>
        <v>154</v>
      </c>
      <c r="K15" s="7">
        <f t="shared" si="1"/>
        <v>32</v>
      </c>
      <c r="L15" s="12">
        <v>1</v>
      </c>
      <c r="M15" s="12">
        <v>0</v>
      </c>
      <c r="N15" s="12">
        <v>-1</v>
      </c>
      <c r="O15" s="12">
        <v>-1</v>
      </c>
      <c r="P15" s="12">
        <v>0</v>
      </c>
      <c r="Q15" s="19" t="str">
        <f>IF(LEN(S15)&gt;0,"Y","N")</f>
        <v>Y</v>
      </c>
      <c r="R15" s="28" t="s">
        <v>23</v>
      </c>
      <c r="S15" s="11" t="s">
        <v>88</v>
      </c>
      <c r="T15" s="38" t="s">
        <v>98</v>
      </c>
      <c r="V15" s="21" t="s">
        <v>89</v>
      </c>
      <c r="W15" s="19" t="s">
        <v>23</v>
      </c>
      <c r="Y15" s="19" t="s">
        <v>23</v>
      </c>
    </row>
    <row r="16" spans="1:26" ht="63.75">
      <c r="A16" s="8">
        <v>3721</v>
      </c>
      <c r="B16" s="7">
        <v>15</v>
      </c>
      <c r="C16" s="13" t="s">
        <v>62</v>
      </c>
      <c r="D16" s="10" t="s">
        <v>66</v>
      </c>
      <c r="E16" s="11" t="s">
        <v>63</v>
      </c>
      <c r="F16" s="35" t="s">
        <v>95</v>
      </c>
      <c r="G16" s="23">
        <v>0</v>
      </c>
      <c r="H16" s="25" t="s">
        <v>76</v>
      </c>
      <c r="I16" s="12">
        <v>1</v>
      </c>
      <c r="J16" s="7">
        <f t="shared" si="0"/>
        <v>120</v>
      </c>
      <c r="K16" s="7">
        <f t="shared" si="1"/>
        <v>32</v>
      </c>
      <c r="L16" s="12">
        <v>1</v>
      </c>
      <c r="M16" s="12">
        <v>0</v>
      </c>
      <c r="N16" s="12">
        <v>-1</v>
      </c>
      <c r="O16" s="12">
        <v>-1</v>
      </c>
      <c r="P16" s="12">
        <v>0</v>
      </c>
      <c r="Q16" s="21" t="s">
        <v>23</v>
      </c>
      <c r="R16" s="30"/>
      <c r="S16" s="27"/>
      <c r="V16" s="21">
        <v>0</v>
      </c>
      <c r="W16" s="19" t="s">
        <v>23</v>
      </c>
      <c r="Y16" s="19" t="s">
        <v>23</v>
      </c>
    </row>
    <row r="17" spans="1:25" ht="63.75">
      <c r="A17" s="8">
        <v>3722</v>
      </c>
      <c r="B17" s="7">
        <v>16</v>
      </c>
      <c r="C17" s="13" t="s">
        <v>64</v>
      </c>
      <c r="D17" s="10" t="s">
        <v>66</v>
      </c>
      <c r="E17" s="11" t="s">
        <v>65</v>
      </c>
      <c r="F17" s="23" t="s">
        <v>25</v>
      </c>
      <c r="G17" s="23">
        <v>0</v>
      </c>
      <c r="H17" s="25" t="s">
        <v>77</v>
      </c>
      <c r="I17" s="12">
        <v>1</v>
      </c>
      <c r="J17" s="7">
        <f t="shared" si="0"/>
        <v>124</v>
      </c>
      <c r="K17" s="7">
        <f t="shared" si="1"/>
        <v>15</v>
      </c>
      <c r="L17" s="12">
        <v>1</v>
      </c>
      <c r="M17" s="12">
        <v>0</v>
      </c>
      <c r="N17" s="12">
        <v>-1</v>
      </c>
      <c r="O17" s="12">
        <v>-1</v>
      </c>
      <c r="P17" s="12">
        <v>0</v>
      </c>
      <c r="Q17" s="19" t="str">
        <f>IF(LEN(S17)&gt;0,"Y","N")</f>
        <v>N</v>
      </c>
      <c r="R17" s="29" t="s">
        <v>34</v>
      </c>
      <c r="S17" s="11"/>
      <c r="V17" s="21">
        <v>0</v>
      </c>
      <c r="W17" s="19" t="s">
        <v>23</v>
      </c>
      <c r="Y17" s="19" t="s">
        <v>23</v>
      </c>
    </row>
    <row r="18" spans="1:25">
      <c r="A18" s="8"/>
      <c r="C18" s="13"/>
      <c r="F18" s="23"/>
      <c r="G18" s="23"/>
      <c r="H18" s="11"/>
      <c r="I18" s="12"/>
      <c r="J18" s="12"/>
      <c r="K18" s="12"/>
      <c r="L18" s="12"/>
      <c r="M18" s="12"/>
      <c r="N18" s="12"/>
      <c r="O18" s="12"/>
      <c r="P18" s="12"/>
    </row>
    <row r="19" spans="1:25">
      <c r="A19" s="8"/>
      <c r="C19" s="13"/>
      <c r="F19" s="23"/>
      <c r="G19" s="23"/>
      <c r="H19" s="11"/>
      <c r="I19" s="12"/>
      <c r="J19" s="12"/>
      <c r="K19" s="12"/>
      <c r="L19" s="12"/>
      <c r="M19" s="12"/>
      <c r="N19" s="12"/>
      <c r="O19" s="12"/>
      <c r="P19" s="12"/>
    </row>
    <row r="20" spans="1:25">
      <c r="A20" s="8"/>
      <c r="C20" s="13"/>
      <c r="F20" s="23"/>
      <c r="G20" s="23"/>
      <c r="H20" s="11"/>
      <c r="I20" s="12"/>
      <c r="J20" s="12"/>
      <c r="K20" s="12"/>
      <c r="L20" s="12"/>
      <c r="M20" s="12"/>
      <c r="N20" s="12"/>
      <c r="O20" s="12"/>
      <c r="P20" s="12"/>
    </row>
    <row r="21" spans="1:25">
      <c r="A21" s="8"/>
      <c r="C21" s="13"/>
      <c r="F21" s="23"/>
      <c r="G21" s="23"/>
      <c r="H21" s="11"/>
      <c r="I21" s="12"/>
      <c r="J21" s="12"/>
      <c r="K21" s="12"/>
      <c r="L21" s="12"/>
      <c r="M21" s="12"/>
      <c r="N21" s="12"/>
      <c r="O21" s="12"/>
      <c r="P21" s="12"/>
    </row>
    <row r="22" spans="1:25">
      <c r="A22" s="8"/>
      <c r="C22" s="13"/>
      <c r="F22" s="23"/>
      <c r="G22" s="23"/>
      <c r="H22" s="11"/>
      <c r="I22" s="12"/>
      <c r="J22" s="12"/>
      <c r="K22" s="12"/>
      <c r="L22" s="12"/>
      <c r="M22" s="12"/>
      <c r="N22" s="12"/>
      <c r="O22" s="12"/>
      <c r="P22" s="12"/>
    </row>
    <row r="23" spans="1:25">
      <c r="A23" s="8"/>
      <c r="C23" s="13"/>
      <c r="F23" s="23"/>
      <c r="G23" s="23"/>
      <c r="H23" s="11"/>
      <c r="I23" s="12"/>
      <c r="J23" s="12"/>
      <c r="K23" s="12"/>
      <c r="L23" s="12"/>
      <c r="M23" s="12"/>
      <c r="N23" s="12"/>
      <c r="O23" s="12"/>
      <c r="P23" s="12"/>
    </row>
    <row r="24" spans="1:25">
      <c r="A24" s="8"/>
      <c r="C24" s="13"/>
      <c r="F24" s="23"/>
      <c r="G24" s="23"/>
      <c r="H24" s="11"/>
      <c r="I24" s="12"/>
      <c r="J24" s="12"/>
      <c r="K24" s="12"/>
      <c r="L24" s="12"/>
      <c r="M24" s="12"/>
      <c r="N24" s="12"/>
      <c r="O24" s="12"/>
      <c r="P24" s="12"/>
    </row>
    <row r="25" spans="1:25">
      <c r="A25" s="8"/>
      <c r="C25" s="13"/>
      <c r="F25" s="23"/>
      <c r="G25" s="23"/>
      <c r="H25" s="11"/>
      <c r="I25" s="12"/>
      <c r="J25" s="12"/>
      <c r="K25" s="12"/>
      <c r="L25" s="12"/>
      <c r="M25" s="12"/>
      <c r="N25" s="12"/>
      <c r="O25" s="12"/>
      <c r="P25" s="12"/>
    </row>
    <row r="26" spans="1:25">
      <c r="A26" s="8"/>
      <c r="C26" s="13"/>
      <c r="F26" s="23"/>
      <c r="G26" s="23"/>
      <c r="H26" s="11"/>
      <c r="I26" s="12"/>
      <c r="J26" s="12"/>
      <c r="K26" s="12"/>
      <c r="L26" s="12"/>
      <c r="M26" s="12"/>
      <c r="N26" s="12"/>
      <c r="O26" s="12"/>
      <c r="P26" s="12"/>
    </row>
    <row r="27" spans="1:25">
      <c r="A27" s="8"/>
      <c r="C27" s="13"/>
      <c r="F27" s="23"/>
      <c r="G27" s="23"/>
      <c r="H27" s="11"/>
      <c r="I27" s="12"/>
      <c r="J27" s="12"/>
      <c r="K27" s="12"/>
      <c r="L27" s="12"/>
      <c r="M27" s="12"/>
      <c r="N27" s="12"/>
      <c r="O27" s="12"/>
      <c r="P27" s="12"/>
    </row>
    <row r="28" spans="1:25">
      <c r="A28" s="8"/>
      <c r="C28" s="13"/>
      <c r="F28" s="23"/>
      <c r="G28" s="23"/>
      <c r="H28" s="11"/>
      <c r="I28" s="12"/>
      <c r="J28" s="12"/>
      <c r="K28" s="12"/>
      <c r="L28" s="12"/>
      <c r="M28" s="12"/>
      <c r="N28" s="12"/>
      <c r="O28" s="12"/>
      <c r="P28" s="12"/>
    </row>
    <row r="29" spans="1:25">
      <c r="A29" s="8"/>
      <c r="C29" s="13"/>
      <c r="F29" s="23"/>
      <c r="G29" s="23"/>
      <c r="H29" s="11"/>
      <c r="I29" s="12"/>
      <c r="J29" s="12"/>
      <c r="K29" s="12"/>
      <c r="L29" s="12"/>
      <c r="M29" s="12"/>
      <c r="N29" s="12"/>
      <c r="O29" s="12"/>
      <c r="P29" s="12"/>
    </row>
    <row r="30" spans="1:25">
      <c r="A30" s="8"/>
      <c r="C30" s="13"/>
      <c r="F30" s="23"/>
      <c r="G30" s="23"/>
      <c r="H30" s="11"/>
      <c r="I30" s="12"/>
      <c r="J30" s="12"/>
      <c r="K30" s="12"/>
      <c r="L30" s="12"/>
      <c r="M30" s="12"/>
      <c r="N30" s="12"/>
      <c r="O30" s="12"/>
      <c r="P30" s="12"/>
    </row>
    <row r="31" spans="1:25">
      <c r="A31" s="8"/>
      <c r="C31" s="13"/>
      <c r="F31" s="23"/>
      <c r="G31" s="23"/>
      <c r="H31" s="11"/>
      <c r="I31" s="12"/>
      <c r="J31" s="12"/>
      <c r="K31" s="12"/>
      <c r="L31" s="12"/>
      <c r="M31" s="12"/>
      <c r="N31" s="12"/>
      <c r="O31" s="12"/>
      <c r="P31" s="12"/>
      <c r="S31" s="17"/>
    </row>
    <row r="32" spans="1:25">
      <c r="A32" s="8"/>
      <c r="C32" s="13"/>
      <c r="F32" s="23"/>
      <c r="G32" s="23"/>
      <c r="H32" s="11"/>
      <c r="I32" s="12"/>
      <c r="J32" s="12"/>
      <c r="K32" s="12"/>
      <c r="L32" s="12"/>
      <c r="M32" s="12"/>
      <c r="N32" s="12"/>
      <c r="O32" s="12"/>
      <c r="P32" s="12"/>
    </row>
    <row r="33" spans="1:16">
      <c r="A33" s="8"/>
      <c r="C33" s="13"/>
      <c r="F33" s="23"/>
      <c r="G33" s="23"/>
      <c r="H33" s="11"/>
      <c r="I33" s="12"/>
      <c r="J33" s="12"/>
      <c r="K33" s="12"/>
      <c r="L33" s="12"/>
      <c r="M33" s="12"/>
      <c r="N33" s="12"/>
      <c r="O33" s="12"/>
      <c r="P33" s="12"/>
    </row>
    <row r="34" spans="1:16">
      <c r="A34" s="8"/>
      <c r="C34" s="13"/>
      <c r="F34" s="23"/>
      <c r="G34" s="23"/>
      <c r="H34" s="11"/>
      <c r="I34" s="12"/>
      <c r="J34" s="12"/>
      <c r="K34" s="12"/>
      <c r="L34" s="12"/>
      <c r="M34" s="12"/>
      <c r="N34" s="12"/>
      <c r="O34" s="12"/>
      <c r="P34" s="12"/>
    </row>
    <row r="35" spans="1:16">
      <c r="A35" s="8"/>
      <c r="C35" s="13"/>
      <c r="F35" s="23"/>
      <c r="G35" s="23"/>
      <c r="H35" s="11"/>
      <c r="I35" s="12"/>
      <c r="J35" s="12"/>
      <c r="K35" s="12"/>
      <c r="L35" s="12"/>
      <c r="M35" s="12"/>
      <c r="N35" s="12"/>
      <c r="O35" s="12"/>
      <c r="P35" s="12"/>
    </row>
    <row r="36" spans="1:16">
      <c r="A36" s="8"/>
      <c r="C36" s="13"/>
      <c r="F36" s="23"/>
      <c r="G36" s="23"/>
      <c r="H36" s="11"/>
      <c r="I36" s="12"/>
      <c r="J36" s="12"/>
      <c r="K36" s="12"/>
      <c r="L36" s="12"/>
      <c r="M36" s="12"/>
      <c r="N36" s="12"/>
      <c r="O36" s="12"/>
      <c r="P36" s="12"/>
    </row>
    <row r="37" spans="1:16">
      <c r="A37" s="8"/>
      <c r="C37" s="13"/>
      <c r="F37" s="23"/>
      <c r="G37" s="23"/>
      <c r="H37" s="11"/>
      <c r="I37" s="12"/>
      <c r="J37" s="12"/>
      <c r="K37" s="12"/>
      <c r="L37" s="12"/>
      <c r="M37" s="12"/>
      <c r="N37" s="12"/>
      <c r="O37" s="12"/>
      <c r="P37" s="12"/>
    </row>
    <row r="38" spans="1:16">
      <c r="A38" s="8"/>
      <c r="C38" s="13"/>
      <c r="F38" s="23"/>
      <c r="G38" s="23"/>
      <c r="H38" s="11"/>
      <c r="I38" s="12"/>
      <c r="J38" s="12"/>
      <c r="K38" s="12"/>
      <c r="L38" s="12"/>
      <c r="M38" s="12"/>
      <c r="N38" s="12"/>
      <c r="O38" s="12"/>
      <c r="P38" s="12"/>
    </row>
    <row r="39" spans="1:16">
      <c r="A39" s="8"/>
      <c r="C39" s="13"/>
      <c r="F39" s="23"/>
      <c r="G39" s="23"/>
      <c r="H39" s="11"/>
      <c r="I39" s="12"/>
      <c r="J39" s="12"/>
      <c r="K39" s="12"/>
      <c r="L39" s="12"/>
      <c r="M39" s="12"/>
      <c r="N39" s="12"/>
      <c r="O39" s="12"/>
      <c r="P39" s="12"/>
    </row>
    <row r="40" spans="1:16">
      <c r="A40" s="8"/>
      <c r="C40" s="13"/>
      <c r="F40" s="23"/>
      <c r="G40" s="23"/>
      <c r="H40" s="11"/>
      <c r="I40" s="12"/>
      <c r="J40" s="12"/>
      <c r="K40" s="12"/>
      <c r="L40" s="12"/>
      <c r="M40" s="12"/>
      <c r="N40" s="12"/>
      <c r="O40" s="12"/>
      <c r="P40" s="12"/>
    </row>
    <row r="41" spans="1:16">
      <c r="A41" s="8"/>
      <c r="C41" s="13"/>
      <c r="F41" s="23"/>
      <c r="G41" s="23"/>
      <c r="H41" s="11"/>
      <c r="I41" s="12"/>
      <c r="J41" s="12"/>
      <c r="K41" s="12"/>
      <c r="L41" s="12"/>
      <c r="M41" s="12"/>
      <c r="N41" s="12"/>
      <c r="O41" s="12"/>
      <c r="P41" s="12"/>
    </row>
    <row r="42" spans="1:16">
      <c r="A42" s="8"/>
      <c r="C42" s="13"/>
      <c r="F42" s="23"/>
      <c r="G42" s="23"/>
      <c r="H42" s="11"/>
      <c r="I42" s="12"/>
      <c r="J42" s="12"/>
      <c r="K42" s="12"/>
      <c r="L42" s="12"/>
      <c r="M42" s="12"/>
      <c r="N42" s="12"/>
      <c r="O42" s="12"/>
      <c r="P42" s="12"/>
    </row>
    <row r="43" spans="1:16">
      <c r="A43" s="8"/>
      <c r="C43" s="13"/>
      <c r="F43" s="23"/>
      <c r="G43" s="23"/>
      <c r="H43" s="11"/>
      <c r="I43" s="12"/>
      <c r="J43" s="12"/>
      <c r="K43" s="12"/>
      <c r="L43" s="12"/>
      <c r="M43" s="12"/>
      <c r="N43" s="12"/>
      <c r="O43" s="12"/>
      <c r="P43" s="12"/>
    </row>
    <row r="44" spans="1:16">
      <c r="A44" s="8"/>
      <c r="C44" s="13"/>
      <c r="F44" s="23"/>
      <c r="G44" s="23"/>
      <c r="H44" s="11"/>
      <c r="I44" s="12"/>
      <c r="J44" s="12"/>
      <c r="K44" s="12"/>
      <c r="L44" s="12"/>
      <c r="M44" s="12"/>
      <c r="N44" s="12"/>
      <c r="O44" s="12"/>
      <c r="P44" s="12"/>
    </row>
    <row r="45" spans="1:16">
      <c r="A45" s="8"/>
      <c r="C45" s="13"/>
      <c r="F45" s="23"/>
      <c r="G45" s="23"/>
      <c r="H45" s="11"/>
      <c r="I45" s="12"/>
      <c r="J45" s="12"/>
      <c r="K45" s="12"/>
      <c r="L45" s="12"/>
      <c r="M45" s="12"/>
      <c r="N45" s="12"/>
      <c r="O45" s="12"/>
      <c r="P45" s="12"/>
    </row>
  </sheetData>
  <autoFilter ref="A1:Z17"/>
  <conditionalFormatting sqref="T1:U1 W1">
    <cfRule type="expression" dxfId="0" priority="3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My Computer</cp:lastModifiedBy>
  <cp:revision>0</cp:revision>
  <cp:lastPrinted>1601-01-01T00:00:00Z</cp:lastPrinted>
  <dcterms:created xsi:type="dcterms:W3CDTF">2005-10-17T17:27:43Z</dcterms:created>
  <dcterms:modified xsi:type="dcterms:W3CDTF">2015-04-28T18:04:05Z</dcterms:modified>
</cp:coreProperties>
</file>