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john\Downloads\"/>
    </mc:Choice>
  </mc:AlternateContent>
  <bookViews>
    <workbookView xWindow="0" yWindow="0" windowWidth="20490" windowHeight="9045"/>
  </bookViews>
  <sheets>
    <sheet name="surveyQuestion" sheetId="5" r:id="rId1"/>
    <sheet name="Sheet1" sheetId="4" r:id="rId2"/>
    <sheet name="Sheet2" sheetId="2" r:id="rId3"/>
    <sheet name="note" sheetId="3" r:id="rId4"/>
  </sheets>
  <definedNames>
    <definedName name="_xlnm._FilterDatabase" localSheetId="1" hidden="1">Sheet1!$A$1:$C$133</definedName>
    <definedName name="_xlnm._FilterDatabase" localSheetId="0" hidden="1">surveyQuestion!$F$1:$F$70</definedName>
    <definedName name="customs" localSheetId="0">surveyQuestion!#REF!</definedName>
    <definedName name="Excel_BuiltIn__FilterDatabase_1" localSheetId="0">surveyQuestion!$A$1:$J$1</definedName>
    <definedName name="Excel_BuiltIn__FilterDatabase_1">#REF!</definedName>
    <definedName name="highway" localSheetId="0">surveyQuestion!#REF!</definedName>
    <definedName name="marine" localSheetId="0">surveyQuestion!#REF!</definedName>
    <definedName name="rail" localSheetId="0">surveyQuestion!#REF!</definedName>
  </definedNames>
  <calcPr calcId="152511"/>
</workbook>
</file>

<file path=xl/calcChain.xml><?xml version="1.0" encoding="utf-8"?>
<calcChain xmlns="http://schemas.openxmlformats.org/spreadsheetml/2006/main">
  <c r="D3" i="4" l="1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2" i="4"/>
  <c r="D1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1" i="4"/>
  <c r="K6" i="5"/>
  <c r="J6" i="5"/>
  <c r="K4" i="5"/>
  <c r="J4" i="5"/>
  <c r="K3" i="5"/>
  <c r="J3" i="5"/>
  <c r="K5" i="5"/>
  <c r="J5" i="5"/>
  <c r="Q2" i="5"/>
  <c r="K2" i="5"/>
  <c r="J2" i="5"/>
</calcChain>
</file>

<file path=xl/sharedStrings.xml><?xml version="1.0" encoding="utf-8"?>
<sst xmlns="http://schemas.openxmlformats.org/spreadsheetml/2006/main" count="213" uniqueCount="190">
  <si>
    <t>Page</t>
  </si>
  <si>
    <t>Surveyset</t>
  </si>
  <si>
    <t>Survey</t>
  </si>
  <si>
    <t>Question</t>
  </si>
  <si>
    <t>Response</t>
  </si>
  <si>
    <t>Title</t>
  </si>
  <si>
    <t>Required</t>
  </si>
  <si>
    <t>Length</t>
  </si>
  <si>
    <t>titleLength</t>
  </si>
  <si>
    <t>yValue</t>
  </si>
  <si>
    <t>nValue</t>
  </si>
  <si>
    <t>naValue</t>
  </si>
  <si>
    <t>otherValue</t>
  </si>
  <si>
    <t>qWeight</t>
  </si>
  <si>
    <t>QID</t>
  </si>
  <si>
    <t>skipLogic</t>
  </si>
  <si>
    <t>skipLogicAnswer</t>
  </si>
  <si>
    <t>skipLogicJump</t>
  </si>
  <si>
    <t>Column</t>
  </si>
  <si>
    <t>Comment Type</t>
  </si>
  <si>
    <t xml:space="preserve"> 4 display both text and upload  on yes button text box required</t>
  </si>
  <si>
    <t>1 display only text box  on yes button required</t>
  </si>
  <si>
    <t>Comment</t>
  </si>
  <si>
    <t>N</t>
  </si>
  <si>
    <t>CommentType</t>
  </si>
  <si>
    <t>Y/N</t>
  </si>
  <si>
    <t>snipOffQuestionnaire</t>
  </si>
  <si>
    <t>spinoffid</t>
  </si>
  <si>
    <t>emailalert</t>
  </si>
  <si>
    <t>emailalertlist</t>
  </si>
  <si>
    <t>CommentBoxMessageText</t>
  </si>
  <si>
    <t>UploadMessageText</t>
  </si>
  <si>
    <t>Section 1</t>
  </si>
  <si>
    <t>Section 2</t>
  </si>
  <si>
    <t>Section 3</t>
  </si>
  <si>
    <t>Section 4</t>
  </si>
  <si>
    <t>Section 5</t>
  </si>
  <si>
    <t>Y/N/COTS</t>
  </si>
  <si>
    <t>Type of product supplied</t>
  </si>
  <si>
    <t>Buy American Act 2015</t>
  </si>
  <si>
    <t>Mfg PoST</t>
  </si>
  <si>
    <t>Unmfg PoST</t>
  </si>
  <si>
    <t>Mfg Content Test</t>
  </si>
  <si>
    <t>Next PN</t>
  </si>
  <si>
    <t>1503=1&amp;1503=1:1505; 1503=0&amp;1503=0:1505; 1503=2&amp;1503=2:1505;</t>
  </si>
  <si>
    <t>Y</t>
  </si>
  <si>
    <t>M</t>
  </si>
  <si>
    <t>dropdown:United States (US); Afghanistan (AF); American Samoa (AS); Angola (AO); Antigua and Barbuda (AG); Aruba (AW); Australia (AU); Austria (AT); Bahamas (BS); Bahrain (BH); Bangladesh (BD); Barbados (BB); Belgium (BE); Belize (BZ); Benin (BJ); Bhutan (BT); Brazil (BR); British Virgin Islands (VG); Bulgaria (BG); Burkina Faso (BF); Burundi (BI); Cambodia (KH); Canada (CA); Central African Republic (CF); Chad (TD); Chile (CL); China (CN); Colombia (CO); Comoros (KM); Costa Rica (CR); Cyprus (CY); Czech Republic (CZ); Democratic Republic of Congo (CD); Denmark (DK); District of Columbia (DC); Djibouti (DJ); Dominica (DM); Dominican Republic (DO); East Timor (TL); Egypt (EG); El Salvador (SV); Equatorial Guinea (GQ); Eritrea (ER); Estonia (EE); Ethiopia (ET); Finland (FI); France (FR); Gambia (GM); Germany (DE); Greece (GR); Grenada (GD); Guatemala (GT); Guam (GU); Guinea (GN); Guinea Bissau (GW); Guyana (GY); Haiti (HT); Honduras (HN); Hong Kong (HK); Hungary (HU); Iceland (IS); India (IN); Indonesia (ID); Ireland (IE); Israel (IL); Italy (IT); Jamaica (JM); Japan (JP); Kiribati (KI); Republic of Korea (KR); Laos (LA); Latvia (LV); Lesotho (LS); Liberia (LR); Liechtenstein (LI); Lithuania (LT); Luxembourg (LU); Madagascar (MG); Malawi (MW); Malaysia (MY); Maldives (MV); Mali (ML); Malta (MT); Mauretania (MR); Mexico (MX); Montserrat (MS); Morocco (MA); Mozambique (MZ); Nepal (NP); Netherlands (NL); Netherlands Antilles (AN); Nicaragua (NI); Niger (NE); Norway (NO); Oman (OM); Panama (PA); Peru (PE); Philipines (PH); Poland (PL); Portugal (PT); Puerto Rico (PR); Romania (RO); Rwanda (RW); Samoa (WS); Sao Tome and Principe (ST); Senegal (SN); Sierra Leone (SL); Singapore (SG); Slovak Republic (SK); Slovenia (SI); Solomon Islands (SB); Somalia (SO); Spain (ES); St. Kitts and Nevis (KN); St. Lucia (LC); St. Vincent and the Grenadines (VC); Sweden (SE); Switzerland (CH); Taiwan (TW); Tanzania (TZ); Thailand (TH); Togo (TG); Trinidad and Tobago (TT); Tunisia (TN); Turkey (TR); Tuvalu (TV); Uganda (UG); Ukraine (UA); United Kingdom &amp; Northern Ireland (GB); Vanuatu (VU); Vietnam (VN);Yemen (YE); Zambia (ZM);</t>
  </si>
  <si>
    <r>
      <rPr>
        <sz val="8"/>
        <rFont val="Arial"/>
        <family val="2"/>
      </rPr>
      <t>Is &lt;i&gt;</t>
    </r>
    <r>
      <rPr>
        <i/>
        <sz val="8"/>
        <rFont val="Arial"/>
        <family val="2"/>
      </rPr>
      <t>[partnumber]</t>
    </r>
    <r>
      <rPr>
        <sz val="8"/>
        <rFont val="Arial"/>
        <family val="2"/>
      </rPr>
      <t>&lt;/i&gt; a &lt;b&gt;&lt;i&gt;</t>
    </r>
    <r>
      <rPr>
        <b/>
        <i/>
        <sz val="8"/>
        <rFont val="Arial"/>
        <family val="2"/>
      </rPr>
      <t>"manufactured"</t>
    </r>
    <r>
      <rPr>
        <sz val="8"/>
        <rFont val="Arial"/>
        <family val="2"/>
      </rPr>
      <t>&lt;/i&gt;&lt;/b&gt; product, or an &lt;b&gt;&lt;i&gt;</t>
    </r>
    <r>
      <rPr>
        <b/>
        <i/>
        <sz val="8"/>
        <rFont val="Arial"/>
        <family val="2"/>
      </rPr>
      <t>"unmanufactured"</t>
    </r>
    <r>
      <rPr>
        <sz val="8"/>
        <rFont val="Arial"/>
        <family val="2"/>
      </rPr>
      <t>&lt;/i&gt;&lt;/b&gt; product?</t>
    </r>
  </si>
  <si>
    <r>
      <t>Where is the &lt;b&gt;</t>
    </r>
    <r>
      <rPr>
        <b/>
        <sz val="8"/>
        <color indexed="8"/>
        <rFont val="Arial"/>
        <family val="2"/>
      </rPr>
      <t>manufactured</t>
    </r>
    <r>
      <rPr>
        <sz val="8"/>
        <color indexed="8"/>
        <rFont val="Arial"/>
        <family val="2"/>
      </rPr>
      <t>&lt;/b&gt; product &lt;i&gt;</t>
    </r>
    <r>
      <rPr>
        <i/>
        <sz val="8"/>
        <color indexed="8"/>
        <rFont val="Arial"/>
        <family val="2"/>
      </rPr>
      <t>[partnumber]</t>
    </r>
    <r>
      <rPr>
        <sz val="8"/>
        <color indexed="8"/>
        <rFont val="Arial"/>
        <family val="2"/>
      </rPr>
      <t>&lt;/i&gt; &lt;b&gt;</t>
    </r>
    <r>
      <rPr>
        <b/>
        <sz val="8"/>
        <color indexed="8"/>
        <rFont val="Arial"/>
        <family val="2"/>
      </rPr>
      <t>substantially transformed</t>
    </r>
    <r>
      <rPr>
        <sz val="8"/>
        <color indexed="8"/>
        <rFont val="Arial"/>
        <family val="2"/>
      </rPr>
      <t>&lt;/b&gt;?</t>
    </r>
  </si>
  <si>
    <r>
      <t>Do the &lt;b&gt;</t>
    </r>
    <r>
      <rPr>
        <b/>
        <sz val="8"/>
        <color indexed="8"/>
        <rFont val="Arial"/>
        <family val="2"/>
      </rPr>
      <t>costs of the components</t>
    </r>
    <r>
      <rPr>
        <sz val="8"/>
        <color indexed="8"/>
        <rFont val="Arial"/>
        <family val="2"/>
      </rPr>
      <t>&lt;/b&gt; that go directly into &lt;i&gt;</t>
    </r>
    <r>
      <rPr>
        <i/>
        <sz val="8"/>
        <color indexed="8"/>
        <rFont val="Arial"/>
        <family val="2"/>
      </rPr>
      <t>[part number],</t>
    </r>
    <r>
      <rPr>
        <sz val="8"/>
        <color indexed="8"/>
        <rFont val="Arial"/>
        <family val="2"/>
      </rPr>
      <t>&lt;/i&gt; which were mined, produced, or manufactured in the United States, and/or in a &lt;b&gt;</t>
    </r>
    <r>
      <rPr>
        <b/>
        <sz val="8"/>
        <color indexed="8"/>
        <rFont val="Arial"/>
        <family val="2"/>
      </rPr>
      <t>qualifying country</t>
    </r>
    <r>
      <rPr>
        <sz val="8"/>
        <color indexed="8"/>
        <rFont val="Arial"/>
        <family val="2"/>
      </rPr>
      <t>,&lt;/b&gt; exceed 50% of the combined costs of all of the components that go directly into &lt;i&gt;</t>
    </r>
    <r>
      <rPr>
        <i/>
        <sz val="8"/>
        <color indexed="8"/>
        <rFont val="Arial"/>
        <family val="2"/>
      </rPr>
      <t>[part number]</t>
    </r>
    <r>
      <rPr>
        <sz val="8"/>
        <color indexed="8"/>
        <rFont val="Arial"/>
        <family val="2"/>
      </rPr>
      <t>&lt;/i&gt;?&lt;br&gt;
If &lt;i&gt;</t>
    </r>
    <r>
      <rPr>
        <i/>
        <sz val="8"/>
        <color indexed="8"/>
        <rFont val="Arial"/>
        <family val="2"/>
      </rPr>
      <t>[part number]</t>
    </r>
    <r>
      <rPr>
        <sz val="8"/>
        <color indexed="8"/>
        <rFont val="Arial"/>
        <family val="2"/>
      </rPr>
      <t>&lt;/i&gt; fits the Buy American Act definition for a &lt;b&gt;</t>
    </r>
    <r>
      <rPr>
        <b/>
        <sz val="8"/>
        <color indexed="8"/>
        <rFont val="Arial"/>
        <family val="2"/>
      </rPr>
      <t>COTS</t>
    </r>
    <r>
      <rPr>
        <sz val="8"/>
        <color indexed="8"/>
        <rFont val="Arial"/>
        <family val="2"/>
      </rPr>
      <t>&lt;/b&gt; exception, please select &lt;b&gt;</t>
    </r>
    <r>
      <rPr>
        <b/>
        <sz val="8"/>
        <color indexed="8"/>
        <rFont val="Arial"/>
        <family val="2"/>
      </rPr>
      <t>COTS</t>
    </r>
    <r>
      <rPr>
        <sz val="8"/>
        <color indexed="8"/>
        <rFont val="Arial"/>
        <family val="2"/>
      </rPr>
      <t>&lt;/b&gt;.</t>
    </r>
  </si>
  <si>
    <r>
      <t>Where is the &lt;b&gt;</t>
    </r>
    <r>
      <rPr>
        <b/>
        <sz val="8"/>
        <color indexed="8"/>
        <rFont val="Arial"/>
        <family val="2"/>
      </rPr>
      <t>unmanufactured</t>
    </r>
    <r>
      <rPr>
        <sz val="8"/>
        <color indexed="8"/>
        <rFont val="Arial"/>
        <family val="2"/>
      </rPr>
      <t>&lt;/b&gt; product &lt;i&gt;</t>
    </r>
    <r>
      <rPr>
        <i/>
        <sz val="8"/>
        <color indexed="8"/>
        <rFont val="Arial"/>
        <family val="2"/>
      </rPr>
      <t>[partnumber]</t>
    </r>
    <r>
      <rPr>
        <sz val="8"/>
        <color indexed="8"/>
        <rFont val="Arial"/>
        <family val="2"/>
      </rPr>
      <t>&lt;/i&gt; wholly mined or produced?</t>
    </r>
  </si>
  <si>
    <r>
      <t>You have completed the questions for &lt;i&gt;</t>
    </r>
    <r>
      <rPr>
        <i/>
        <sz val="8"/>
        <color indexed="8"/>
        <rFont val="Arial"/>
        <family val="2"/>
      </rPr>
      <t>[partnumber]</t>
    </r>
    <r>
      <rPr>
        <sz val="8"/>
        <color indexed="8"/>
        <rFont val="Arial"/>
        <family val="2"/>
      </rPr>
      <t>&lt;/i&gt;. Would you like to continue to &lt;i&gt;</t>
    </r>
    <r>
      <rPr>
        <i/>
        <sz val="8"/>
        <color indexed="8"/>
        <rFont val="Arial"/>
        <family val="2"/>
      </rPr>
      <t>[part partnumber]</t>
    </r>
    <r>
      <rPr>
        <sz val="8"/>
        <color indexed="8"/>
        <rFont val="Arial"/>
        <family val="2"/>
      </rPr>
      <t>&lt;/i&gt;?</t>
    </r>
  </si>
  <si>
    <t>US</t>
  </si>
  <si>
    <t>AF</t>
  </si>
  <si>
    <t>AS</t>
  </si>
  <si>
    <t>AO</t>
  </si>
  <si>
    <t>AG</t>
  </si>
  <si>
    <t>AW</t>
  </si>
  <si>
    <t>AU</t>
  </si>
  <si>
    <t>AT</t>
  </si>
  <si>
    <t>BS</t>
  </si>
  <si>
    <t>BH</t>
  </si>
  <si>
    <t>BD</t>
  </si>
  <si>
    <t>BB</t>
  </si>
  <si>
    <t>BE</t>
  </si>
  <si>
    <t>BZ</t>
  </si>
  <si>
    <t>BJ</t>
  </si>
  <si>
    <t>BT</t>
  </si>
  <si>
    <t>BR</t>
  </si>
  <si>
    <t>VG</t>
  </si>
  <si>
    <t>BG</t>
  </si>
  <si>
    <t>BF</t>
  </si>
  <si>
    <t>BI</t>
  </si>
  <si>
    <t>KH</t>
  </si>
  <si>
    <t>CA</t>
  </si>
  <si>
    <t>CF</t>
  </si>
  <si>
    <t>TD</t>
  </si>
  <si>
    <t>CL</t>
  </si>
  <si>
    <t>CN</t>
  </si>
  <si>
    <t>CO</t>
  </si>
  <si>
    <t>KM</t>
  </si>
  <si>
    <t>CR</t>
  </si>
  <si>
    <t>CY</t>
  </si>
  <si>
    <t>CZ</t>
  </si>
  <si>
    <t>CD</t>
  </si>
  <si>
    <t>DK</t>
  </si>
  <si>
    <t>DC</t>
  </si>
  <si>
    <t>DJ</t>
  </si>
  <si>
    <t>DM</t>
  </si>
  <si>
    <t>DO</t>
  </si>
  <si>
    <t>TL</t>
  </si>
  <si>
    <t>EG</t>
  </si>
  <si>
    <t>SV</t>
  </si>
  <si>
    <t>GQ</t>
  </si>
  <si>
    <t>ER</t>
  </si>
  <si>
    <t>EE</t>
  </si>
  <si>
    <t>ET</t>
  </si>
  <si>
    <t>FI</t>
  </si>
  <si>
    <t>FR</t>
  </si>
  <si>
    <t>GM</t>
  </si>
  <si>
    <t>DE</t>
  </si>
  <si>
    <t>GR</t>
  </si>
  <si>
    <t>GD</t>
  </si>
  <si>
    <t>GT</t>
  </si>
  <si>
    <t>GU</t>
  </si>
  <si>
    <t>GN</t>
  </si>
  <si>
    <t>GW</t>
  </si>
  <si>
    <t>GY</t>
  </si>
  <si>
    <t>HT</t>
  </si>
  <si>
    <t>HN</t>
  </si>
  <si>
    <t>HK</t>
  </si>
  <si>
    <t>HU</t>
  </si>
  <si>
    <t>IS</t>
  </si>
  <si>
    <t>IN</t>
  </si>
  <si>
    <t>ID</t>
  </si>
  <si>
    <t>IE</t>
  </si>
  <si>
    <t>IL</t>
  </si>
  <si>
    <t>IT</t>
  </si>
  <si>
    <t>JM</t>
  </si>
  <si>
    <t>JP</t>
  </si>
  <si>
    <t>KI</t>
  </si>
  <si>
    <t>KR</t>
  </si>
  <si>
    <t>LA</t>
  </si>
  <si>
    <t>LV</t>
  </si>
  <si>
    <t>LS</t>
  </si>
  <si>
    <t>LR</t>
  </si>
  <si>
    <t>LI</t>
  </si>
  <si>
    <t>LT</t>
  </si>
  <si>
    <t>LU</t>
  </si>
  <si>
    <t>MG</t>
  </si>
  <si>
    <t>MW</t>
  </si>
  <si>
    <t>MY</t>
  </si>
  <si>
    <t>MV</t>
  </si>
  <si>
    <t>ML</t>
  </si>
  <si>
    <t>MT</t>
  </si>
  <si>
    <t>MR</t>
  </si>
  <si>
    <t>MX</t>
  </si>
  <si>
    <t>MS</t>
  </si>
  <si>
    <t>MA</t>
  </si>
  <si>
    <t>MZ</t>
  </si>
  <si>
    <t>NP</t>
  </si>
  <si>
    <t>NL</t>
  </si>
  <si>
    <t>AN</t>
  </si>
  <si>
    <t>NI</t>
  </si>
  <si>
    <t>NE</t>
  </si>
  <si>
    <t>NO</t>
  </si>
  <si>
    <t>OM</t>
  </si>
  <si>
    <t>PA</t>
  </si>
  <si>
    <t>PE</t>
  </si>
  <si>
    <t>PH</t>
  </si>
  <si>
    <t>PL</t>
  </si>
  <si>
    <t>PT</t>
  </si>
  <si>
    <t>PR</t>
  </si>
  <si>
    <t>RO</t>
  </si>
  <si>
    <t>RW</t>
  </si>
  <si>
    <t>WS</t>
  </si>
  <si>
    <t>ST</t>
  </si>
  <si>
    <t>SN</t>
  </si>
  <si>
    <t>SL</t>
  </si>
  <si>
    <t>SG</t>
  </si>
  <si>
    <t>SK</t>
  </si>
  <si>
    <t>SI</t>
  </si>
  <si>
    <t>SB</t>
  </si>
  <si>
    <t>SO</t>
  </si>
  <si>
    <t>ES</t>
  </si>
  <si>
    <t>KN</t>
  </si>
  <si>
    <t>LC</t>
  </si>
  <si>
    <t>VC</t>
  </si>
  <si>
    <t>SE</t>
  </si>
  <si>
    <t>CH</t>
  </si>
  <si>
    <t>TW</t>
  </si>
  <si>
    <t>TZ</t>
  </si>
  <si>
    <t>TH</t>
  </si>
  <si>
    <t>TG</t>
  </si>
  <si>
    <t>TT</t>
  </si>
  <si>
    <t>TN</t>
  </si>
  <si>
    <t>TR</t>
  </si>
  <si>
    <t>TV</t>
  </si>
  <si>
    <t>UG</t>
  </si>
  <si>
    <t>UA</t>
  </si>
  <si>
    <t>GB</t>
  </si>
  <si>
    <t>VU</t>
  </si>
  <si>
    <t>VN</t>
  </si>
  <si>
    <t>YE</t>
  </si>
  <si>
    <t>ZM</t>
  </si>
  <si>
    <t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1502=TG&amp;1502=TG:1505;1502=TT&amp;1502=TT:1505;1502=TN&amp;1502=TN:1505;1502=TR&amp;1502=TR:1503;1502=TV&amp;1502=TV:1505;1502=UG&amp;1502=UG:1505;1502=UA&amp;1502=UA:1505;1502=GB&amp;1502=GB:1503;1502=VU&amp;1502=VU:1505;1502=VN&amp;1502=VN:1505;1502=YE&amp;1502=YE:1505;1502=ZM&amp;1502=ZM:1505;</t>
  </si>
  <si>
    <t>D</t>
  </si>
  <si>
    <r>
      <t>list:&lt;b&gt;</t>
    </r>
    <r>
      <rPr>
        <b/>
        <sz val="12"/>
        <color rgb="FFFF0000"/>
        <rFont val="Arial"/>
        <family val="2"/>
      </rPr>
      <t>Manufactured</t>
    </r>
    <r>
      <rPr>
        <sz val="12"/>
        <color rgb="FFFF0000"/>
        <rFont val="Arial"/>
        <family val="2"/>
      </rPr>
      <t>&lt;/b&gt; (substantially transformed, etc., final assembly)(YY).; or &lt;b&gt;</t>
    </r>
    <r>
      <rPr>
        <b/>
        <sz val="12"/>
        <color rgb="FFFF0000"/>
        <rFont val="Arial"/>
        <family val="2"/>
      </rPr>
      <t>Unmanufactured</t>
    </r>
    <r>
      <rPr>
        <sz val="12"/>
        <color rgb="FFFF0000"/>
        <rFont val="Arial"/>
        <family val="2"/>
      </rPr>
      <t>&lt;/b&gt; (mined or produced (grown), e.g., minerals, raw material, cotton, etc.)(NN).</t>
    </r>
  </si>
  <si>
    <t>1501=NN&amp;1501=NN:1504;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</si>
</sst>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name val="宋体"/>
      <family val="2"/>
      <charset val="134"/>
    </font>
    <font>
      <sz val="10"/>
      <name val="Arial"/>
      <family val="2"/>
      <charset val="134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8"/>
      <color rgb="FFFF0000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name val="Arial"/>
      <family val="2"/>
      <charset val="134"/>
    </font>
    <font>
      <sz val="12"/>
      <color rgb="FFFF0000"/>
      <name val="Arial"/>
      <family val="2"/>
    </font>
    <font>
      <b/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1" fillId="0" borderId="0" xfId="0" applyFont="1"/>
    <xf numFmtId="0" fontId="2" fillId="0" borderId="0" xfId="0" applyFont="1"/>
    <xf numFmtId="0" fontId="5" fillId="0" borderId="1" xfId="0" applyFont="1" applyFill="1" applyBorder="1" applyAlignment="1">
      <alignment horizontal="left" vertical="top" wrapText="1"/>
    </xf>
    <xf numFmtId="0" fontId="13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9" fillId="0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/>
    </xf>
    <xf numFmtId="0" fontId="9" fillId="0" borderId="1" xfId="0" applyNumberFormat="1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10" fillId="0" borderId="1" xfId="0" applyNumberFormat="1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0000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0"/>
  <sheetViews>
    <sheetView tabSelected="1" zoomScaleNormal="100" workbookViewId="0">
      <pane xSplit="5" ySplit="1" topLeftCell="I2" activePane="bottomRight" state="frozen"/>
      <selection pane="topRight" activeCell="F1" sqref="F1"/>
      <selection pane="bottomLeft" activeCell="A2" sqref="A2"/>
      <selection pane="bottomRight" activeCell="K2" sqref="K2"/>
    </sheetView>
  </sheetViews>
  <sheetFormatPr defaultColWidth="10.28515625" defaultRowHeight="30" customHeight="1"/>
  <cols>
    <col min="1" max="1" width="5" style="12" bestFit="1" customWidth="1"/>
    <col min="2" max="2" width="6.28515625" style="12" customWidth="1"/>
    <col min="3" max="3" width="10.42578125" style="28" bestFit="1" customWidth="1"/>
    <col min="4" max="4" width="21.28515625" style="12" customWidth="1"/>
    <col min="5" max="5" width="41.42578125" style="12" customWidth="1"/>
    <col min="6" max="6" width="77.85546875" style="12" customWidth="1"/>
    <col min="7" max="7" width="18" style="12" customWidth="1"/>
    <col min="8" max="8" width="15.28515625" style="28" customWidth="1"/>
    <col min="9" max="9" width="9.28515625" style="12" customWidth="1"/>
    <col min="10" max="10" width="8.28515625" style="12" customWidth="1"/>
    <col min="11" max="11" width="11.42578125" style="12" customWidth="1"/>
    <col min="12" max="13" width="7.7109375" style="12" customWidth="1"/>
    <col min="14" max="14" width="9.140625" style="12" customWidth="1"/>
    <col min="15" max="15" width="11.140625" style="12" customWidth="1"/>
    <col min="16" max="16" width="13.42578125" style="12" customWidth="1"/>
    <col min="17" max="17" width="9.28515625" style="17" customWidth="1"/>
    <col min="18" max="18" width="11.140625" style="12" customWidth="1"/>
    <col min="19" max="19" width="78.5703125" style="28" customWidth="1"/>
    <col min="20" max="20" width="29.140625" style="12" bestFit="1" customWidth="1"/>
    <col min="21" max="21" width="24.28515625" style="12" bestFit="1" customWidth="1"/>
    <col min="22" max="22" width="16.5703125" style="17" bestFit="1" customWidth="1"/>
    <col min="23" max="23" width="20.28515625" style="17" bestFit="1" customWidth="1"/>
    <col min="24" max="24" width="10.28515625" style="12"/>
    <col min="25" max="25" width="10.28515625" style="17"/>
    <col min="26" max="16384" width="10.28515625" style="12"/>
  </cols>
  <sheetData>
    <row r="1" spans="1:26" ht="30" customHeight="1">
      <c r="A1" s="4" t="s">
        <v>14</v>
      </c>
      <c r="B1" s="5" t="s">
        <v>0</v>
      </c>
      <c r="C1" s="6" t="s">
        <v>1</v>
      </c>
      <c r="D1" s="5" t="s">
        <v>2</v>
      </c>
      <c r="E1" s="7" t="s">
        <v>3</v>
      </c>
      <c r="F1" s="4" t="s">
        <v>4</v>
      </c>
      <c r="G1" s="4" t="s">
        <v>22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8" t="s">
        <v>15</v>
      </c>
      <c r="R1" s="4" t="s">
        <v>16</v>
      </c>
      <c r="S1" s="7" t="s">
        <v>17</v>
      </c>
      <c r="T1" s="9" t="s">
        <v>30</v>
      </c>
      <c r="U1" s="9" t="s">
        <v>31</v>
      </c>
      <c r="V1" s="10" t="s">
        <v>24</v>
      </c>
      <c r="W1" s="11" t="s">
        <v>26</v>
      </c>
      <c r="X1" s="4" t="s">
        <v>27</v>
      </c>
      <c r="Y1" s="10" t="s">
        <v>28</v>
      </c>
      <c r="Z1" s="4" t="s">
        <v>29</v>
      </c>
    </row>
    <row r="2" spans="1:26" ht="66.75" customHeight="1">
      <c r="A2" s="13">
        <v>1501</v>
      </c>
      <c r="B2" s="12">
        <v>1</v>
      </c>
      <c r="C2" s="14" t="s">
        <v>32</v>
      </c>
      <c r="D2" s="12" t="s">
        <v>39</v>
      </c>
      <c r="E2" s="2" t="s">
        <v>48</v>
      </c>
      <c r="F2" s="33" t="s">
        <v>188</v>
      </c>
      <c r="G2" s="15" t="s">
        <v>23</v>
      </c>
      <c r="H2" s="15" t="s">
        <v>38</v>
      </c>
      <c r="I2" s="16">
        <v>1</v>
      </c>
      <c r="J2" s="12">
        <f>LEN(E2)</f>
        <v>108</v>
      </c>
      <c r="K2" s="12">
        <f>LEN(H2)</f>
        <v>24</v>
      </c>
      <c r="L2" s="16">
        <v>1</v>
      </c>
      <c r="M2" s="16">
        <v>0</v>
      </c>
      <c r="N2" s="16">
        <v>-1</v>
      </c>
      <c r="O2" s="16">
        <v>-1</v>
      </c>
      <c r="P2" s="16">
        <v>0</v>
      </c>
      <c r="Q2" s="17" t="str">
        <f t="shared" ref="Q2" si="0">IF(LEN(S2)&gt;0,"Y","N")</f>
        <v>Y</v>
      </c>
      <c r="R2" s="18" t="s">
        <v>187</v>
      </c>
      <c r="S2" s="19" t="s">
        <v>189</v>
      </c>
      <c r="V2" s="20">
        <v>0</v>
      </c>
      <c r="W2" s="17" t="s">
        <v>23</v>
      </c>
      <c r="Y2" s="17" t="s">
        <v>23</v>
      </c>
    </row>
    <row r="3" spans="1:26" s="13" customFormat="1" ht="253.5" customHeight="1">
      <c r="A3" s="13">
        <v>1502</v>
      </c>
      <c r="B3" s="13">
        <v>2</v>
      </c>
      <c r="C3" s="21" t="s">
        <v>33</v>
      </c>
      <c r="D3" s="12" t="s">
        <v>39</v>
      </c>
      <c r="E3" s="19" t="s">
        <v>49</v>
      </c>
      <c r="F3" s="15" t="s">
        <v>47</v>
      </c>
      <c r="G3" s="15" t="s">
        <v>23</v>
      </c>
      <c r="H3" s="22" t="s">
        <v>40</v>
      </c>
      <c r="I3" s="16">
        <v>1</v>
      </c>
      <c r="J3" s="13">
        <f t="shared" ref="J3:J6" si="1">LEN(E3)</f>
        <v>94</v>
      </c>
      <c r="K3" s="13">
        <f t="shared" ref="K3:K6" si="2">LEN(H3)</f>
        <v>8</v>
      </c>
      <c r="L3" s="16">
        <v>1</v>
      </c>
      <c r="M3" s="16">
        <v>0</v>
      </c>
      <c r="N3" s="16">
        <v>-1</v>
      </c>
      <c r="O3" s="16">
        <v>-1</v>
      </c>
      <c r="P3" s="16">
        <v>0</v>
      </c>
      <c r="Q3" s="23" t="s">
        <v>45</v>
      </c>
      <c r="R3" s="18" t="s">
        <v>187</v>
      </c>
      <c r="S3" s="19" t="s">
        <v>186</v>
      </c>
      <c r="V3" s="24">
        <v>0</v>
      </c>
      <c r="W3" s="23" t="s">
        <v>23</v>
      </c>
      <c r="Y3" s="23" t="s">
        <v>23</v>
      </c>
    </row>
    <row r="4" spans="1:26" ht="30" customHeight="1">
      <c r="A4" s="13">
        <v>1503</v>
      </c>
      <c r="B4" s="12">
        <v>3</v>
      </c>
      <c r="C4" s="14" t="s">
        <v>34</v>
      </c>
      <c r="D4" s="12" t="s">
        <v>39</v>
      </c>
      <c r="E4" s="19" t="s">
        <v>50</v>
      </c>
      <c r="F4" s="25" t="s">
        <v>37</v>
      </c>
      <c r="G4" s="25" t="s">
        <v>23</v>
      </c>
      <c r="H4" s="22" t="s">
        <v>42</v>
      </c>
      <c r="I4" s="16">
        <v>1</v>
      </c>
      <c r="J4" s="12">
        <f t="shared" si="1"/>
        <v>409</v>
      </c>
      <c r="K4" s="12">
        <f t="shared" si="2"/>
        <v>16</v>
      </c>
      <c r="L4" s="16">
        <v>1</v>
      </c>
      <c r="M4" s="16">
        <v>0</v>
      </c>
      <c r="N4" s="16">
        <v>-1</v>
      </c>
      <c r="O4" s="16">
        <v>-1</v>
      </c>
      <c r="P4" s="16">
        <v>0</v>
      </c>
      <c r="Q4" s="17" t="s">
        <v>45</v>
      </c>
      <c r="R4" s="18" t="s">
        <v>46</v>
      </c>
      <c r="S4" s="19" t="s">
        <v>44</v>
      </c>
      <c r="V4" s="20">
        <v>0</v>
      </c>
      <c r="W4" s="17" t="s">
        <v>23</v>
      </c>
      <c r="Y4" s="17" t="s">
        <v>23</v>
      </c>
    </row>
    <row r="5" spans="1:26" ht="225">
      <c r="A5" s="13">
        <v>1504</v>
      </c>
      <c r="B5" s="12">
        <v>4</v>
      </c>
      <c r="C5" s="14" t="s">
        <v>35</v>
      </c>
      <c r="D5" s="12" t="s">
        <v>39</v>
      </c>
      <c r="E5" s="19" t="s">
        <v>51</v>
      </c>
      <c r="F5" s="15" t="s">
        <v>47</v>
      </c>
      <c r="G5" s="25" t="s">
        <v>23</v>
      </c>
      <c r="H5" s="22" t="s">
        <v>41</v>
      </c>
      <c r="I5" s="16">
        <v>1</v>
      </c>
      <c r="J5" s="12">
        <f>LEN(E5)</f>
        <v>88</v>
      </c>
      <c r="K5" s="12">
        <f>LEN(H5)</f>
        <v>10</v>
      </c>
      <c r="L5" s="16">
        <v>1</v>
      </c>
      <c r="M5" s="16">
        <v>0</v>
      </c>
      <c r="N5" s="16">
        <v>-1</v>
      </c>
      <c r="O5" s="16">
        <v>-1</v>
      </c>
      <c r="P5" s="16">
        <v>0</v>
      </c>
      <c r="Q5" s="17" t="s">
        <v>23</v>
      </c>
      <c r="R5" s="26"/>
      <c r="S5" s="13"/>
      <c r="V5" s="20">
        <v>0</v>
      </c>
      <c r="W5" s="17" t="s">
        <v>23</v>
      </c>
      <c r="Y5" s="17" t="s">
        <v>23</v>
      </c>
    </row>
    <row r="6" spans="1:26" ht="30" customHeight="1">
      <c r="A6" s="13">
        <v>1505</v>
      </c>
      <c r="B6" s="12">
        <v>5</v>
      </c>
      <c r="C6" s="14" t="s">
        <v>36</v>
      </c>
      <c r="D6" s="12" t="s">
        <v>39</v>
      </c>
      <c r="E6" s="19" t="s">
        <v>52</v>
      </c>
      <c r="F6" s="25" t="s">
        <v>25</v>
      </c>
      <c r="G6" s="25" t="s">
        <v>23</v>
      </c>
      <c r="H6" s="22" t="s">
        <v>43</v>
      </c>
      <c r="I6" s="16">
        <v>1</v>
      </c>
      <c r="J6" s="12">
        <f t="shared" si="1"/>
        <v>113</v>
      </c>
      <c r="K6" s="12">
        <f t="shared" si="2"/>
        <v>7</v>
      </c>
      <c r="L6" s="16">
        <v>1</v>
      </c>
      <c r="M6" s="16">
        <v>0</v>
      </c>
      <c r="N6" s="16">
        <v>-1</v>
      </c>
      <c r="O6" s="16">
        <v>-1</v>
      </c>
      <c r="P6" s="16">
        <v>0</v>
      </c>
      <c r="Q6" s="17" t="s">
        <v>23</v>
      </c>
      <c r="R6" s="16"/>
      <c r="S6" s="19"/>
      <c r="V6" s="20">
        <v>0</v>
      </c>
      <c r="W6" s="17" t="s">
        <v>23</v>
      </c>
      <c r="Y6" s="17" t="s">
        <v>23</v>
      </c>
    </row>
    <row r="7" spans="1:26" ht="30" customHeight="1">
      <c r="A7" s="13"/>
      <c r="C7" s="27"/>
      <c r="F7" s="25"/>
      <c r="G7" s="25"/>
      <c r="H7" s="19"/>
      <c r="I7" s="16"/>
      <c r="J7" s="16"/>
      <c r="K7" s="16"/>
      <c r="L7" s="16"/>
      <c r="M7" s="16"/>
      <c r="N7" s="16"/>
      <c r="O7" s="16"/>
      <c r="P7" s="16"/>
    </row>
    <row r="8" spans="1:26" ht="30" customHeight="1">
      <c r="A8" s="13"/>
      <c r="C8" s="27"/>
      <c r="F8" s="25"/>
      <c r="G8" s="25"/>
      <c r="H8" s="19"/>
      <c r="I8" s="16"/>
      <c r="J8" s="16"/>
      <c r="K8" s="16"/>
      <c r="L8" s="16"/>
      <c r="M8" s="16"/>
      <c r="N8" s="16"/>
      <c r="O8" s="16"/>
      <c r="P8" s="16"/>
    </row>
    <row r="9" spans="1:26" ht="30" customHeight="1">
      <c r="A9" s="13"/>
      <c r="C9" s="27"/>
      <c r="F9" s="25"/>
      <c r="G9" s="25"/>
      <c r="H9" s="19"/>
      <c r="I9" s="16"/>
      <c r="J9" s="16"/>
      <c r="K9" s="16"/>
      <c r="L9" s="16"/>
      <c r="M9" s="16"/>
      <c r="N9" s="16"/>
      <c r="O9" s="16"/>
      <c r="P9" s="16"/>
    </row>
    <row r="10" spans="1:26" ht="30" customHeight="1">
      <c r="A10" s="13"/>
      <c r="C10" s="27"/>
      <c r="F10" s="25"/>
      <c r="G10" s="25"/>
      <c r="H10" s="19"/>
      <c r="I10" s="16"/>
      <c r="J10" s="16"/>
      <c r="K10" s="16"/>
      <c r="L10" s="16"/>
      <c r="M10" s="16"/>
      <c r="N10" s="16"/>
      <c r="O10" s="16"/>
      <c r="P10" s="16"/>
    </row>
    <row r="11" spans="1:26" ht="30" customHeight="1">
      <c r="A11" s="13"/>
      <c r="C11" s="27"/>
      <c r="F11" s="25"/>
      <c r="G11" s="25"/>
      <c r="H11" s="19"/>
      <c r="I11" s="16"/>
      <c r="J11" s="16"/>
      <c r="K11" s="16"/>
      <c r="L11" s="16"/>
      <c r="M11" s="16"/>
      <c r="N11" s="16"/>
      <c r="O11" s="16"/>
      <c r="P11" s="16"/>
    </row>
    <row r="12" spans="1:26" ht="30" customHeight="1">
      <c r="A12" s="13"/>
      <c r="C12" s="27"/>
      <c r="F12" s="25"/>
      <c r="G12" s="25"/>
      <c r="H12" s="19"/>
      <c r="I12" s="16"/>
      <c r="J12" s="16"/>
      <c r="K12" s="16"/>
      <c r="L12" s="16"/>
      <c r="M12" s="16"/>
      <c r="N12" s="16"/>
      <c r="O12" s="16"/>
      <c r="P12" s="16"/>
    </row>
    <row r="13" spans="1:26" ht="30" customHeight="1">
      <c r="A13" s="13"/>
      <c r="C13" s="27"/>
      <c r="F13" s="25"/>
      <c r="G13" s="25"/>
      <c r="H13" s="19"/>
      <c r="I13" s="16"/>
      <c r="J13" s="16"/>
      <c r="K13" s="16"/>
      <c r="L13" s="16"/>
      <c r="M13" s="16"/>
      <c r="N13" s="16"/>
      <c r="O13" s="16"/>
      <c r="P13" s="16"/>
    </row>
    <row r="14" spans="1:26" ht="30" customHeight="1">
      <c r="A14" s="13"/>
      <c r="C14" s="27"/>
      <c r="F14" s="25"/>
      <c r="G14" s="25"/>
      <c r="H14" s="19"/>
      <c r="I14" s="16"/>
      <c r="J14" s="16"/>
      <c r="K14" s="16"/>
      <c r="L14" s="16"/>
      <c r="M14" s="16"/>
      <c r="N14" s="16"/>
      <c r="O14" s="16"/>
      <c r="P14" s="16"/>
    </row>
    <row r="15" spans="1:26" ht="30" customHeight="1">
      <c r="A15" s="13"/>
      <c r="C15" s="27"/>
      <c r="F15" s="25"/>
      <c r="G15" s="25"/>
      <c r="H15" s="19"/>
      <c r="I15" s="16"/>
      <c r="J15" s="16"/>
      <c r="K15" s="16"/>
      <c r="L15" s="16"/>
      <c r="M15" s="16"/>
      <c r="N15" s="16"/>
      <c r="O15" s="16"/>
      <c r="P15" s="16"/>
    </row>
    <row r="16" spans="1:26" ht="30" customHeight="1">
      <c r="A16" s="13"/>
      <c r="C16" s="27"/>
      <c r="F16" s="25"/>
      <c r="G16" s="25"/>
      <c r="H16" s="19"/>
      <c r="I16" s="16"/>
      <c r="J16" s="16"/>
      <c r="K16" s="16"/>
      <c r="L16" s="16"/>
      <c r="M16" s="16"/>
      <c r="N16" s="16"/>
      <c r="O16" s="16"/>
      <c r="P16" s="16"/>
    </row>
    <row r="17" spans="1:19" ht="30" customHeight="1">
      <c r="A17" s="13"/>
      <c r="C17" s="27"/>
      <c r="F17" s="25"/>
      <c r="G17" s="25"/>
      <c r="H17" s="19"/>
      <c r="I17" s="16"/>
      <c r="J17" s="16"/>
      <c r="K17" s="16"/>
      <c r="L17" s="16"/>
      <c r="M17" s="16"/>
      <c r="N17" s="16"/>
      <c r="O17" s="16"/>
      <c r="P17" s="16"/>
    </row>
    <row r="18" spans="1:19" ht="30" customHeight="1">
      <c r="A18" s="13"/>
      <c r="C18" s="27"/>
      <c r="F18" s="25"/>
      <c r="G18" s="25"/>
      <c r="H18" s="19"/>
      <c r="I18" s="16"/>
      <c r="J18" s="16"/>
      <c r="K18" s="16"/>
      <c r="L18" s="16"/>
      <c r="M18" s="16"/>
      <c r="N18" s="16"/>
      <c r="O18" s="16"/>
      <c r="P18" s="16"/>
    </row>
    <row r="19" spans="1:19" ht="30" customHeight="1">
      <c r="A19" s="13"/>
      <c r="C19" s="27"/>
      <c r="F19" s="25"/>
      <c r="G19" s="25"/>
      <c r="H19" s="19"/>
      <c r="I19" s="16"/>
      <c r="J19" s="16"/>
      <c r="K19" s="16"/>
      <c r="L19" s="16"/>
      <c r="M19" s="16"/>
      <c r="N19" s="16"/>
      <c r="O19" s="16"/>
      <c r="P19" s="16"/>
    </row>
    <row r="20" spans="1:19" ht="30" customHeight="1">
      <c r="A20" s="13"/>
      <c r="C20" s="27"/>
      <c r="F20" s="25"/>
      <c r="G20" s="25"/>
      <c r="H20" s="19"/>
      <c r="I20" s="16"/>
      <c r="J20" s="16"/>
      <c r="K20" s="16"/>
      <c r="L20" s="16"/>
      <c r="M20" s="16"/>
      <c r="N20" s="16"/>
      <c r="O20" s="16"/>
      <c r="P20" s="16"/>
      <c r="S20" s="29"/>
    </row>
    <row r="21" spans="1:19" ht="30" customHeight="1">
      <c r="A21" s="13"/>
      <c r="C21" s="27"/>
      <c r="F21" s="25"/>
      <c r="G21" s="25"/>
      <c r="H21" s="19"/>
      <c r="I21" s="16"/>
      <c r="J21" s="16"/>
      <c r="K21" s="16"/>
      <c r="L21" s="16"/>
      <c r="M21" s="16"/>
      <c r="N21" s="16"/>
      <c r="O21" s="16"/>
      <c r="P21" s="16"/>
    </row>
    <row r="22" spans="1:19" ht="30" customHeight="1">
      <c r="A22" s="13"/>
      <c r="C22" s="27"/>
      <c r="F22" s="25"/>
      <c r="G22" s="25"/>
      <c r="H22" s="19"/>
      <c r="I22" s="16"/>
      <c r="J22" s="16"/>
      <c r="K22" s="16"/>
      <c r="L22" s="16"/>
      <c r="M22" s="16"/>
      <c r="N22" s="16"/>
      <c r="O22" s="16"/>
      <c r="P22" s="16"/>
    </row>
    <row r="23" spans="1:19" ht="30" customHeight="1">
      <c r="A23" s="13"/>
      <c r="C23" s="27"/>
      <c r="F23" s="25"/>
      <c r="G23" s="25"/>
      <c r="H23" s="19"/>
      <c r="I23" s="16"/>
      <c r="J23" s="16"/>
      <c r="K23" s="16"/>
      <c r="L23" s="16"/>
      <c r="M23" s="16"/>
      <c r="N23" s="16"/>
      <c r="O23" s="16"/>
      <c r="P23" s="16"/>
    </row>
    <row r="24" spans="1:19" ht="30" customHeight="1">
      <c r="A24" s="13"/>
      <c r="C24" s="27"/>
      <c r="F24" s="25"/>
      <c r="G24" s="25"/>
      <c r="H24" s="19"/>
      <c r="I24" s="16"/>
      <c r="J24" s="16"/>
      <c r="K24" s="16"/>
      <c r="L24" s="16"/>
      <c r="M24" s="16"/>
      <c r="N24" s="16"/>
      <c r="O24" s="16"/>
      <c r="P24" s="16"/>
    </row>
    <row r="25" spans="1:19" ht="30" customHeight="1">
      <c r="A25" s="13"/>
      <c r="C25" s="27"/>
      <c r="F25" s="25"/>
      <c r="G25" s="25"/>
      <c r="H25" s="19"/>
      <c r="I25" s="16"/>
      <c r="J25" s="16"/>
      <c r="K25" s="16"/>
      <c r="L25" s="16"/>
      <c r="M25" s="16"/>
      <c r="N25" s="16"/>
      <c r="O25" s="16"/>
      <c r="P25" s="16"/>
    </row>
    <row r="26" spans="1:19" ht="30" customHeight="1">
      <c r="A26" s="13"/>
      <c r="C26" s="27"/>
      <c r="F26" s="25"/>
      <c r="G26" s="25"/>
      <c r="H26" s="19"/>
      <c r="I26" s="16"/>
      <c r="J26" s="16"/>
      <c r="K26" s="16"/>
      <c r="L26" s="16"/>
      <c r="M26" s="16"/>
      <c r="N26" s="16"/>
      <c r="O26" s="16"/>
      <c r="P26" s="16"/>
    </row>
    <row r="27" spans="1:19" ht="30" customHeight="1">
      <c r="A27" s="13"/>
      <c r="C27" s="27"/>
      <c r="F27" s="25"/>
      <c r="G27" s="25"/>
      <c r="H27" s="19"/>
      <c r="I27" s="16"/>
      <c r="J27" s="16"/>
      <c r="K27" s="16"/>
      <c r="L27" s="16"/>
      <c r="M27" s="16"/>
      <c r="N27" s="16"/>
      <c r="O27" s="16"/>
      <c r="P27" s="16"/>
    </row>
    <row r="28" spans="1:19" ht="30" customHeight="1">
      <c r="A28" s="13"/>
      <c r="C28" s="27"/>
      <c r="F28" s="25"/>
      <c r="G28" s="25"/>
      <c r="H28" s="19"/>
      <c r="I28" s="16"/>
      <c r="J28" s="16"/>
      <c r="K28" s="16"/>
      <c r="L28" s="16"/>
      <c r="M28" s="16"/>
      <c r="N28" s="16"/>
      <c r="O28" s="16"/>
      <c r="P28" s="16"/>
    </row>
    <row r="29" spans="1:19" ht="30" customHeight="1">
      <c r="A29" s="13"/>
      <c r="C29" s="27"/>
      <c r="F29" s="25"/>
      <c r="G29" s="25"/>
      <c r="H29" s="19"/>
      <c r="I29" s="16"/>
      <c r="J29" s="16"/>
      <c r="K29" s="16"/>
      <c r="L29" s="16"/>
      <c r="M29" s="16"/>
      <c r="N29" s="16"/>
      <c r="O29" s="16"/>
      <c r="P29" s="16"/>
    </row>
    <row r="30" spans="1:19" ht="30" customHeight="1">
      <c r="A30" s="13"/>
      <c r="C30" s="27"/>
      <c r="F30" s="25"/>
      <c r="G30" s="25"/>
      <c r="H30" s="19"/>
      <c r="I30" s="16"/>
      <c r="J30" s="16"/>
      <c r="K30" s="16"/>
      <c r="L30" s="16"/>
      <c r="M30" s="16"/>
      <c r="N30" s="16"/>
      <c r="O30" s="16"/>
      <c r="P30" s="16"/>
    </row>
    <row r="31" spans="1:19" ht="30" customHeight="1">
      <c r="A31" s="13"/>
      <c r="C31" s="27"/>
      <c r="F31" s="25"/>
      <c r="G31" s="25"/>
      <c r="H31" s="19"/>
      <c r="I31" s="16"/>
      <c r="J31" s="16"/>
      <c r="K31" s="16"/>
      <c r="L31" s="16"/>
      <c r="M31" s="16"/>
      <c r="N31" s="16"/>
      <c r="O31" s="16"/>
      <c r="P31" s="16"/>
    </row>
    <row r="32" spans="1:19" ht="30" customHeight="1">
      <c r="A32" s="13"/>
      <c r="C32" s="27"/>
      <c r="F32" s="25"/>
      <c r="G32" s="25"/>
      <c r="H32" s="19"/>
      <c r="I32" s="16"/>
      <c r="J32" s="16"/>
      <c r="K32" s="16"/>
      <c r="L32" s="16"/>
      <c r="M32" s="16"/>
      <c r="N32" s="16"/>
      <c r="O32" s="16"/>
      <c r="P32" s="16"/>
    </row>
    <row r="33" spans="1:25" ht="30" customHeight="1">
      <c r="A33" s="13"/>
      <c r="C33" s="27"/>
      <c r="F33" s="25"/>
      <c r="G33" s="25"/>
      <c r="H33" s="19"/>
      <c r="I33" s="16"/>
      <c r="J33" s="16"/>
      <c r="K33" s="16"/>
      <c r="L33" s="16"/>
      <c r="M33" s="16"/>
      <c r="N33" s="16"/>
      <c r="O33" s="16"/>
      <c r="P33" s="16"/>
    </row>
    <row r="34" spans="1:25" ht="30" customHeight="1">
      <c r="A34" s="13"/>
      <c r="C34" s="27"/>
      <c r="F34" s="25"/>
      <c r="G34" s="25"/>
      <c r="H34" s="19"/>
      <c r="I34" s="16"/>
      <c r="J34" s="16"/>
      <c r="K34" s="16"/>
      <c r="L34" s="16"/>
      <c r="M34" s="16"/>
      <c r="N34" s="16"/>
      <c r="O34" s="16"/>
      <c r="P34" s="16"/>
    </row>
    <row r="35" spans="1:25" ht="30" customHeight="1">
      <c r="A35" s="13"/>
      <c r="C35" s="27"/>
      <c r="F35" s="25"/>
      <c r="G35" s="25"/>
      <c r="H35" s="19"/>
      <c r="I35" s="16"/>
      <c r="J35" s="16"/>
      <c r="K35" s="16"/>
      <c r="L35" s="16"/>
      <c r="M35" s="16"/>
      <c r="N35" s="16"/>
      <c r="O35" s="16"/>
      <c r="P35" s="16"/>
    </row>
    <row r="36" spans="1:25" ht="30" customHeight="1">
      <c r="A36" s="13"/>
      <c r="C36" s="27"/>
      <c r="F36" s="25"/>
      <c r="G36" s="25"/>
      <c r="H36" s="19"/>
      <c r="I36" s="16"/>
      <c r="J36" s="16"/>
      <c r="K36" s="16"/>
      <c r="L36" s="16"/>
      <c r="M36" s="16"/>
      <c r="N36" s="16"/>
      <c r="O36" s="16"/>
      <c r="P36" s="16"/>
    </row>
    <row r="37" spans="1:25" ht="30" customHeight="1">
      <c r="A37" s="13"/>
      <c r="C37" s="27"/>
      <c r="F37" s="25"/>
      <c r="G37" s="25"/>
      <c r="I37" s="16"/>
      <c r="J37" s="16"/>
      <c r="K37" s="16"/>
      <c r="L37" s="16"/>
      <c r="M37" s="16"/>
      <c r="N37" s="16"/>
      <c r="O37" s="16"/>
      <c r="P37" s="16"/>
    </row>
    <row r="38" spans="1:25" ht="30" customHeight="1">
      <c r="A38" s="13"/>
      <c r="C38" s="27"/>
      <c r="F38" s="25"/>
      <c r="G38" s="25"/>
      <c r="I38" s="16"/>
      <c r="J38" s="16"/>
      <c r="K38" s="16"/>
      <c r="L38" s="16"/>
      <c r="M38" s="16"/>
      <c r="N38" s="16"/>
      <c r="O38" s="16"/>
      <c r="P38" s="16"/>
    </row>
    <row r="39" spans="1:25" ht="30" customHeight="1">
      <c r="A39" s="13"/>
      <c r="C39" s="27"/>
      <c r="F39" s="25"/>
      <c r="G39" s="25"/>
      <c r="I39" s="16"/>
      <c r="J39" s="16"/>
      <c r="K39" s="16"/>
      <c r="L39" s="16"/>
      <c r="M39" s="16"/>
      <c r="N39" s="16"/>
      <c r="O39" s="16"/>
      <c r="P39" s="16"/>
    </row>
    <row r="40" spans="1:25" ht="30" customHeight="1">
      <c r="A40" s="13"/>
      <c r="C40" s="27"/>
      <c r="F40" s="25"/>
      <c r="G40" s="25"/>
      <c r="I40" s="16"/>
      <c r="J40" s="16"/>
      <c r="K40" s="16"/>
      <c r="L40" s="16"/>
      <c r="M40" s="16"/>
      <c r="N40" s="16"/>
      <c r="O40" s="16"/>
      <c r="P40" s="16"/>
    </row>
    <row r="41" spans="1:25" ht="30" customHeight="1">
      <c r="A41" s="13"/>
      <c r="C41" s="27"/>
      <c r="F41" s="25"/>
      <c r="G41" s="25"/>
      <c r="I41" s="16"/>
      <c r="J41" s="16"/>
      <c r="K41" s="16"/>
      <c r="L41" s="16"/>
      <c r="M41" s="16"/>
      <c r="N41" s="16"/>
      <c r="O41" s="16"/>
      <c r="P41" s="16"/>
    </row>
    <row r="42" spans="1:25" ht="30" customHeight="1">
      <c r="A42" s="13"/>
      <c r="C42" s="27"/>
      <c r="F42" s="25"/>
      <c r="G42" s="25"/>
      <c r="I42" s="16"/>
      <c r="J42" s="16"/>
      <c r="K42" s="16"/>
      <c r="L42" s="16"/>
      <c r="M42" s="16"/>
      <c r="N42" s="16"/>
      <c r="O42" s="16"/>
      <c r="P42" s="16"/>
    </row>
    <row r="43" spans="1:25" ht="30" customHeight="1">
      <c r="A43" s="13"/>
      <c r="C43" s="27"/>
      <c r="F43" s="25"/>
      <c r="G43" s="25"/>
      <c r="I43" s="16"/>
      <c r="J43" s="16"/>
      <c r="K43" s="16"/>
      <c r="L43" s="16"/>
      <c r="M43" s="16"/>
      <c r="N43" s="16"/>
      <c r="O43" s="16"/>
      <c r="P43" s="16"/>
    </row>
    <row r="44" spans="1:25" ht="30" customHeight="1">
      <c r="A44" s="13"/>
      <c r="C44" s="27"/>
      <c r="F44" s="25"/>
      <c r="G44" s="25"/>
      <c r="I44" s="16"/>
      <c r="J44" s="16"/>
      <c r="K44" s="16"/>
      <c r="L44" s="16"/>
      <c r="M44" s="16"/>
      <c r="N44" s="16"/>
      <c r="O44" s="16"/>
      <c r="P44" s="16"/>
    </row>
    <row r="45" spans="1:25" ht="30" customHeight="1">
      <c r="A45" s="13"/>
      <c r="C45" s="27"/>
      <c r="F45" s="25"/>
      <c r="G45" s="25"/>
      <c r="I45" s="16"/>
      <c r="J45" s="16"/>
      <c r="K45" s="16"/>
      <c r="L45" s="16"/>
      <c r="M45" s="16"/>
      <c r="N45" s="16"/>
      <c r="O45" s="16"/>
      <c r="P45" s="16"/>
    </row>
    <row r="46" spans="1:25" s="13" customFormat="1" ht="30" customHeight="1">
      <c r="C46" s="30"/>
      <c r="F46" s="15"/>
      <c r="G46" s="15"/>
      <c r="H46" s="22"/>
      <c r="I46" s="16"/>
      <c r="J46" s="16"/>
      <c r="K46" s="16"/>
      <c r="L46" s="16"/>
      <c r="M46" s="16"/>
      <c r="N46" s="16"/>
      <c r="O46" s="16"/>
      <c r="P46" s="16"/>
      <c r="Q46" s="23"/>
      <c r="S46" s="22"/>
      <c r="V46" s="23"/>
      <c r="W46" s="23"/>
      <c r="Y46" s="23"/>
    </row>
    <row r="47" spans="1:25" s="13" customFormat="1" ht="30" customHeight="1">
      <c r="C47" s="30"/>
      <c r="F47" s="15"/>
      <c r="G47" s="15"/>
      <c r="H47" s="22"/>
      <c r="I47" s="16"/>
      <c r="J47" s="16"/>
      <c r="K47" s="16"/>
      <c r="L47" s="16"/>
      <c r="M47" s="16"/>
      <c r="N47" s="16"/>
      <c r="O47" s="16"/>
      <c r="P47" s="16"/>
      <c r="Q47" s="23"/>
      <c r="S47" s="22"/>
      <c r="V47" s="23"/>
      <c r="W47" s="23"/>
      <c r="Y47" s="23"/>
    </row>
    <row r="48" spans="1:25" s="13" customFormat="1" ht="30" customHeight="1">
      <c r="C48" s="30"/>
      <c r="F48" s="15"/>
      <c r="G48" s="15"/>
      <c r="H48" s="22"/>
      <c r="I48" s="16"/>
      <c r="J48" s="16"/>
      <c r="K48" s="16"/>
      <c r="L48" s="16"/>
      <c r="M48" s="16"/>
      <c r="N48" s="16"/>
      <c r="O48" s="16"/>
      <c r="P48" s="16"/>
      <c r="Q48" s="23"/>
      <c r="S48" s="22"/>
      <c r="V48" s="23"/>
      <c r="W48" s="23"/>
      <c r="Y48" s="23"/>
    </row>
    <row r="49" spans="1:25" s="13" customFormat="1" ht="30" customHeight="1">
      <c r="C49" s="30"/>
      <c r="F49" s="15"/>
      <c r="G49" s="15"/>
      <c r="H49" s="22"/>
      <c r="I49" s="16"/>
      <c r="J49" s="16"/>
      <c r="K49" s="16"/>
      <c r="L49" s="16"/>
      <c r="M49" s="16"/>
      <c r="N49" s="16"/>
      <c r="O49" s="16"/>
      <c r="P49" s="16"/>
      <c r="Q49" s="23"/>
      <c r="S49" s="22"/>
      <c r="V49" s="23"/>
      <c r="W49" s="23"/>
      <c r="Y49" s="23"/>
    </row>
    <row r="50" spans="1:25" ht="30" customHeight="1">
      <c r="A50" s="13"/>
      <c r="C50" s="27"/>
      <c r="F50" s="25"/>
      <c r="G50" s="25"/>
      <c r="I50" s="16"/>
      <c r="J50" s="16"/>
      <c r="K50" s="16"/>
      <c r="L50" s="16"/>
      <c r="M50" s="16"/>
      <c r="N50" s="16"/>
      <c r="O50" s="16"/>
      <c r="P50" s="16"/>
    </row>
    <row r="51" spans="1:25" ht="30" customHeight="1">
      <c r="A51" s="13"/>
      <c r="C51" s="27"/>
      <c r="F51" s="25"/>
      <c r="G51" s="25"/>
      <c r="I51" s="16"/>
      <c r="J51" s="16"/>
      <c r="K51" s="16"/>
      <c r="L51" s="16"/>
      <c r="M51" s="16"/>
      <c r="N51" s="16"/>
      <c r="O51" s="16"/>
      <c r="P51" s="16"/>
    </row>
    <row r="52" spans="1:25" ht="30" customHeight="1">
      <c r="A52" s="13"/>
      <c r="C52" s="27"/>
      <c r="F52" s="25"/>
      <c r="G52" s="25"/>
      <c r="I52" s="16"/>
      <c r="J52" s="16"/>
      <c r="K52" s="16"/>
      <c r="L52" s="16"/>
      <c r="M52" s="16"/>
      <c r="N52" s="16"/>
      <c r="O52" s="16"/>
      <c r="P52" s="16"/>
    </row>
    <row r="53" spans="1:25" ht="30" customHeight="1">
      <c r="A53" s="13"/>
      <c r="C53" s="27"/>
      <c r="F53" s="25"/>
      <c r="G53" s="25"/>
      <c r="I53" s="16"/>
      <c r="J53" s="16"/>
      <c r="K53" s="16"/>
      <c r="L53" s="16"/>
      <c r="M53" s="16"/>
      <c r="N53" s="16"/>
      <c r="O53" s="16"/>
      <c r="P53" s="16"/>
    </row>
    <row r="54" spans="1:25" ht="30" customHeight="1">
      <c r="A54" s="13"/>
      <c r="C54" s="27"/>
      <c r="F54" s="25"/>
      <c r="G54" s="25"/>
      <c r="I54" s="16"/>
      <c r="J54" s="16"/>
      <c r="K54" s="16"/>
      <c r="L54" s="16"/>
      <c r="M54" s="16"/>
      <c r="N54" s="16"/>
      <c r="O54" s="16"/>
      <c r="P54" s="16"/>
    </row>
    <row r="55" spans="1:25" ht="30" customHeight="1">
      <c r="A55" s="13"/>
      <c r="C55" s="27"/>
      <c r="F55" s="25"/>
      <c r="G55" s="25"/>
      <c r="I55" s="16"/>
      <c r="J55" s="16"/>
      <c r="K55" s="16"/>
      <c r="L55" s="16"/>
      <c r="M55" s="16"/>
      <c r="N55" s="16"/>
      <c r="O55" s="16"/>
      <c r="P55" s="16"/>
    </row>
    <row r="56" spans="1:25" ht="30" customHeight="1">
      <c r="A56" s="13"/>
      <c r="C56" s="27"/>
      <c r="F56" s="25"/>
      <c r="G56" s="25"/>
      <c r="I56" s="16"/>
      <c r="J56" s="16"/>
      <c r="K56" s="16"/>
      <c r="L56" s="16"/>
      <c r="M56" s="16"/>
      <c r="N56" s="16"/>
      <c r="O56" s="16"/>
      <c r="P56" s="16"/>
    </row>
    <row r="57" spans="1:25" ht="30" customHeight="1">
      <c r="A57" s="13"/>
      <c r="C57" s="27"/>
      <c r="F57" s="25"/>
      <c r="G57" s="25"/>
      <c r="I57" s="16"/>
      <c r="J57" s="16"/>
      <c r="K57" s="16"/>
      <c r="L57" s="16"/>
      <c r="M57" s="16"/>
      <c r="N57" s="16"/>
      <c r="O57" s="16"/>
      <c r="P57" s="16"/>
    </row>
    <row r="58" spans="1:25" ht="30" customHeight="1">
      <c r="A58" s="13"/>
      <c r="C58" s="27"/>
      <c r="F58" s="25"/>
      <c r="G58" s="25"/>
      <c r="I58" s="16"/>
      <c r="J58" s="16"/>
      <c r="K58" s="16"/>
      <c r="L58" s="16"/>
      <c r="M58" s="16"/>
      <c r="N58" s="16"/>
      <c r="O58" s="16"/>
      <c r="P58" s="16"/>
    </row>
    <row r="59" spans="1:25" ht="30" customHeight="1">
      <c r="A59" s="13"/>
      <c r="C59" s="27"/>
      <c r="F59" s="25"/>
      <c r="G59" s="25"/>
      <c r="I59" s="16"/>
      <c r="J59" s="16"/>
      <c r="K59" s="16"/>
      <c r="L59" s="16"/>
      <c r="M59" s="16"/>
      <c r="N59" s="16"/>
      <c r="O59" s="16"/>
      <c r="P59" s="16"/>
    </row>
    <row r="60" spans="1:25" ht="30" customHeight="1">
      <c r="A60" s="13"/>
      <c r="C60" s="27"/>
      <c r="F60" s="25"/>
      <c r="G60" s="25"/>
      <c r="I60" s="16"/>
      <c r="J60" s="16"/>
      <c r="K60" s="16"/>
      <c r="L60" s="16"/>
      <c r="M60" s="16"/>
      <c r="N60" s="16"/>
      <c r="O60" s="16"/>
      <c r="P60" s="16"/>
    </row>
    <row r="61" spans="1:25" ht="30" customHeight="1">
      <c r="A61" s="13"/>
      <c r="C61" s="27"/>
      <c r="F61" s="25"/>
      <c r="G61" s="25"/>
      <c r="I61" s="16"/>
      <c r="J61" s="16"/>
      <c r="K61" s="16"/>
      <c r="L61" s="16"/>
      <c r="M61" s="16"/>
      <c r="N61" s="16"/>
      <c r="O61" s="16"/>
      <c r="P61" s="16"/>
    </row>
    <row r="62" spans="1:25" ht="30" customHeight="1">
      <c r="A62" s="13"/>
      <c r="C62" s="27"/>
      <c r="F62" s="31"/>
      <c r="G62" s="25"/>
      <c r="I62" s="16"/>
      <c r="J62" s="16"/>
      <c r="K62" s="16"/>
      <c r="L62" s="16"/>
      <c r="M62" s="16"/>
      <c r="N62" s="16"/>
      <c r="O62" s="16"/>
      <c r="P62" s="16"/>
      <c r="S62" s="32"/>
    </row>
    <row r="63" spans="1:25" ht="30" customHeight="1">
      <c r="A63" s="13"/>
      <c r="C63" s="27"/>
      <c r="F63" s="25"/>
      <c r="G63" s="25"/>
      <c r="I63" s="16"/>
      <c r="J63" s="16"/>
      <c r="K63" s="16"/>
      <c r="L63" s="16"/>
      <c r="M63" s="16"/>
      <c r="N63" s="16"/>
      <c r="O63" s="16"/>
      <c r="P63" s="16"/>
    </row>
    <row r="64" spans="1:25" ht="30" customHeight="1">
      <c r="A64" s="13"/>
      <c r="C64" s="27"/>
      <c r="F64" s="25"/>
      <c r="G64" s="25"/>
      <c r="I64" s="16"/>
      <c r="J64" s="16"/>
      <c r="K64" s="16"/>
      <c r="L64" s="16"/>
      <c r="M64" s="16"/>
      <c r="N64" s="16"/>
      <c r="O64" s="16"/>
      <c r="P64" s="16"/>
    </row>
    <row r="65" spans="1:16" ht="30" customHeight="1">
      <c r="A65" s="13"/>
      <c r="C65" s="27"/>
      <c r="F65" s="25"/>
      <c r="G65" s="25"/>
      <c r="I65" s="16"/>
      <c r="J65" s="16"/>
      <c r="K65" s="16"/>
      <c r="L65" s="16"/>
      <c r="M65" s="16"/>
      <c r="N65" s="16"/>
      <c r="O65" s="16"/>
      <c r="P65" s="16"/>
    </row>
    <row r="66" spans="1:16" ht="30" customHeight="1">
      <c r="A66" s="13"/>
      <c r="C66" s="27"/>
      <c r="F66" s="25"/>
      <c r="G66" s="25"/>
      <c r="I66" s="16"/>
      <c r="J66" s="16"/>
      <c r="K66" s="16"/>
      <c r="L66" s="16"/>
      <c r="M66" s="16"/>
      <c r="N66" s="16"/>
      <c r="O66" s="16"/>
      <c r="P66" s="16"/>
    </row>
    <row r="67" spans="1:16" ht="30" customHeight="1">
      <c r="A67" s="13"/>
      <c r="C67" s="27"/>
      <c r="F67" s="25"/>
      <c r="G67" s="25"/>
      <c r="I67" s="16"/>
      <c r="J67" s="16"/>
      <c r="K67" s="16"/>
      <c r="L67" s="16"/>
      <c r="M67" s="16"/>
      <c r="N67" s="16"/>
      <c r="O67" s="16"/>
      <c r="P67" s="16"/>
    </row>
    <row r="68" spans="1:16" ht="30" customHeight="1">
      <c r="A68" s="13"/>
      <c r="C68" s="27"/>
      <c r="F68" s="25"/>
      <c r="G68" s="25"/>
      <c r="I68" s="16"/>
      <c r="J68" s="16"/>
      <c r="K68" s="16"/>
      <c r="L68" s="16"/>
      <c r="M68" s="16"/>
      <c r="N68" s="16"/>
      <c r="O68" s="16"/>
      <c r="P68" s="16"/>
    </row>
    <row r="69" spans="1:16" ht="30" customHeight="1">
      <c r="A69" s="13"/>
      <c r="C69" s="27"/>
      <c r="F69" s="25"/>
      <c r="G69" s="25"/>
      <c r="I69" s="16"/>
      <c r="J69" s="16"/>
      <c r="K69" s="16"/>
      <c r="L69" s="16"/>
      <c r="M69" s="16"/>
      <c r="N69" s="16"/>
      <c r="O69" s="16"/>
      <c r="P69" s="16"/>
    </row>
    <row r="70" spans="1:16" ht="30" customHeight="1">
      <c r="A70" s="13"/>
      <c r="C70" s="27"/>
      <c r="F70" s="25"/>
      <c r="G70" s="25"/>
      <c r="I70" s="16"/>
      <c r="J70" s="16"/>
      <c r="K70" s="16"/>
      <c r="L70" s="16"/>
      <c r="M70" s="16"/>
      <c r="N70" s="16"/>
      <c r="O70" s="16"/>
      <c r="P70" s="16"/>
    </row>
  </sheetData>
  <autoFilter ref="F1:F70"/>
  <conditionalFormatting sqref="T1:U1 W1">
    <cfRule type="expression" dxfId="0" priority="1">
      <formula>MOD(ROW(),2)=0</formula>
    </cfRule>
  </conditionalFormatting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3"/>
  <sheetViews>
    <sheetView topLeftCell="A117" workbookViewId="0">
      <selection activeCell="D133" sqref="D133"/>
    </sheetView>
  </sheetViews>
  <sheetFormatPr defaultRowHeight="11.25"/>
  <cols>
    <col min="1" max="1" width="4.42578125" style="3" bestFit="1" customWidth="1"/>
    <col min="2" max="2" width="4.42578125" style="3" customWidth="1"/>
    <col min="3" max="3" width="20.28515625" style="3" bestFit="1" customWidth="1"/>
    <col min="4" max="16384" width="9.140625" style="3"/>
  </cols>
  <sheetData>
    <row r="1" spans="1:4">
      <c r="A1" s="3" t="s">
        <v>53</v>
      </c>
      <c r="B1" s="3">
        <v>1503</v>
      </c>
      <c r="C1" s="3" t="str">
        <f>"1502="&amp;A1&amp;"&amp;1502="&amp;A1&amp;":"&amp;TEXT(B1,0)&amp;";"</f>
        <v>1502=US&amp;1502=US:1503;</v>
      </c>
      <c r="D1" s="3" t="str">
        <f>C1</f>
        <v>1502=US&amp;1502=US:1503;</v>
      </c>
    </row>
    <row r="2" spans="1:4">
      <c r="A2" s="3" t="s">
        <v>54</v>
      </c>
      <c r="B2" s="3">
        <v>1505</v>
      </c>
      <c r="C2" s="3" t="str">
        <f t="shared" ref="C2:C65" si="0">"1502="&amp;A2&amp;"&amp;1502="&amp;A2&amp;":"&amp;TEXT(B2,0)&amp;";"</f>
        <v>1502=AF&amp;1502=AF:1505;</v>
      </c>
      <c r="D2" s="3" t="str">
        <f>D1&amp;C2</f>
        <v>1502=US&amp;1502=US:1503;1502=AF&amp;1502=AF:1505;</v>
      </c>
    </row>
    <row r="3" spans="1:4">
      <c r="A3" s="3" t="s">
        <v>55</v>
      </c>
      <c r="B3" s="3">
        <v>1503</v>
      </c>
      <c r="C3" s="3" t="str">
        <f t="shared" si="0"/>
        <v>1502=AS&amp;1502=AS:1503;</v>
      </c>
      <c r="D3" s="3" t="str">
        <f t="shared" ref="D3:D66" si="1">D2&amp;C3</f>
        <v>1502=US&amp;1502=US:1503;1502=AF&amp;1502=AF:1505;1502=AS&amp;1502=AS:1503;</v>
      </c>
    </row>
    <row r="4" spans="1:4">
      <c r="A4" s="3" t="s">
        <v>56</v>
      </c>
      <c r="B4" s="3">
        <v>1505</v>
      </c>
      <c r="C4" s="3" t="str">
        <f t="shared" si="0"/>
        <v>1502=AO&amp;1502=AO:1505;</v>
      </c>
      <c r="D4" s="3" t="str">
        <f t="shared" si="1"/>
        <v>1502=US&amp;1502=US:1503;1502=AF&amp;1502=AF:1505;1502=AS&amp;1502=AS:1503;1502=AO&amp;1502=AO:1505;</v>
      </c>
    </row>
    <row r="5" spans="1:4">
      <c r="A5" s="3" t="s">
        <v>57</v>
      </c>
      <c r="B5" s="3">
        <v>1505</v>
      </c>
      <c r="C5" s="3" t="str">
        <f t="shared" si="0"/>
        <v>1502=AG&amp;1502=AG:1505;</v>
      </c>
      <c r="D5" s="3" t="str">
        <f t="shared" si="1"/>
        <v>1502=US&amp;1502=US:1503;1502=AF&amp;1502=AF:1505;1502=AS&amp;1502=AS:1503;1502=AO&amp;1502=AO:1505;1502=AG&amp;1502=AG:1505;</v>
      </c>
    </row>
    <row r="6" spans="1:4">
      <c r="A6" s="3" t="s">
        <v>58</v>
      </c>
      <c r="B6" s="3">
        <v>1505</v>
      </c>
      <c r="C6" s="3" t="str">
        <f t="shared" si="0"/>
        <v>1502=AW&amp;1502=AW:1505;</v>
      </c>
      <c r="D6" s="3" t="str">
        <f t="shared" si="1"/>
        <v>1502=US&amp;1502=US:1503;1502=AF&amp;1502=AF:1505;1502=AS&amp;1502=AS:1503;1502=AO&amp;1502=AO:1505;1502=AG&amp;1502=AG:1505;1502=AW&amp;1502=AW:1505;</v>
      </c>
    </row>
    <row r="7" spans="1:4">
      <c r="A7" s="3" t="s">
        <v>59</v>
      </c>
      <c r="B7" s="3">
        <v>1503</v>
      </c>
      <c r="C7" s="3" t="str">
        <f t="shared" si="0"/>
        <v>1502=AU&amp;1502=AU:1503;</v>
      </c>
      <c r="D7" s="3" t="str">
        <f t="shared" si="1"/>
        <v>1502=US&amp;1502=US:1503;1502=AF&amp;1502=AF:1505;1502=AS&amp;1502=AS:1503;1502=AO&amp;1502=AO:1505;1502=AG&amp;1502=AG:1505;1502=AW&amp;1502=AW:1505;1502=AU&amp;1502=AU:1503;</v>
      </c>
    </row>
    <row r="8" spans="1:4">
      <c r="A8" s="3" t="s">
        <v>60</v>
      </c>
      <c r="B8" s="3">
        <v>1503</v>
      </c>
      <c r="C8" s="3" t="str">
        <f t="shared" si="0"/>
        <v>1502=AT&amp;1502=AT:1503;</v>
      </c>
      <c r="D8" s="3" t="str">
        <f t="shared" si="1"/>
        <v>1502=US&amp;1502=US:1503;1502=AF&amp;1502=AF:1505;1502=AS&amp;1502=AS:1503;1502=AO&amp;1502=AO:1505;1502=AG&amp;1502=AG:1505;1502=AW&amp;1502=AW:1505;1502=AU&amp;1502=AU:1503;1502=AT&amp;1502=AT:1503;</v>
      </c>
    </row>
    <row r="9" spans="1:4">
      <c r="A9" s="3" t="s">
        <v>61</v>
      </c>
      <c r="B9" s="3">
        <v>1505</v>
      </c>
      <c r="C9" s="3" t="str">
        <f t="shared" si="0"/>
        <v>1502=BS&amp;1502=BS:1505;</v>
      </c>
      <c r="D9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</v>
      </c>
    </row>
    <row r="10" spans="1:4">
      <c r="A10" s="3" t="s">
        <v>62</v>
      </c>
      <c r="B10" s="3">
        <v>1505</v>
      </c>
      <c r="C10" s="3" t="str">
        <f t="shared" si="0"/>
        <v>1502=BH&amp;1502=BH:1505;</v>
      </c>
      <c r="D10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</v>
      </c>
    </row>
    <row r="11" spans="1:4">
      <c r="A11" s="3" t="s">
        <v>63</v>
      </c>
      <c r="B11" s="3">
        <v>1505</v>
      </c>
      <c r="C11" s="3" t="str">
        <f t="shared" si="0"/>
        <v>1502=BD&amp;1502=BD:1505;</v>
      </c>
      <c r="D11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</v>
      </c>
    </row>
    <row r="12" spans="1:4">
      <c r="A12" s="3" t="s">
        <v>64</v>
      </c>
      <c r="B12" s="3">
        <v>1505</v>
      </c>
      <c r="C12" s="3" t="str">
        <f t="shared" si="0"/>
        <v>1502=BB&amp;1502=BB:1505;</v>
      </c>
      <c r="D12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</v>
      </c>
    </row>
    <row r="13" spans="1:4">
      <c r="A13" s="3" t="s">
        <v>65</v>
      </c>
      <c r="B13" s="3">
        <v>1503</v>
      </c>
      <c r="C13" s="3" t="str">
        <f t="shared" si="0"/>
        <v>1502=BE&amp;1502=BE:1503;</v>
      </c>
      <c r="D13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</v>
      </c>
    </row>
    <row r="14" spans="1:4">
      <c r="A14" s="3" t="s">
        <v>66</v>
      </c>
      <c r="B14" s="3">
        <v>1505</v>
      </c>
      <c r="C14" s="3" t="str">
        <f t="shared" si="0"/>
        <v>1502=BZ&amp;1502=BZ:1505;</v>
      </c>
      <c r="D14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</v>
      </c>
    </row>
    <row r="15" spans="1:4">
      <c r="A15" s="3" t="s">
        <v>67</v>
      </c>
      <c r="B15" s="3">
        <v>1505</v>
      </c>
      <c r="C15" s="3" t="str">
        <f t="shared" si="0"/>
        <v>1502=BJ&amp;1502=BJ:1505;</v>
      </c>
      <c r="D15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</v>
      </c>
    </row>
    <row r="16" spans="1:4">
      <c r="A16" s="3" t="s">
        <v>68</v>
      </c>
      <c r="B16" s="3">
        <v>1505</v>
      </c>
      <c r="C16" s="3" t="str">
        <f t="shared" si="0"/>
        <v>1502=BT&amp;1502=BT:1505;</v>
      </c>
      <c r="D16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</v>
      </c>
    </row>
    <row r="17" spans="1:4">
      <c r="A17" s="3" t="s">
        <v>69</v>
      </c>
      <c r="B17" s="3">
        <v>1505</v>
      </c>
      <c r="C17" s="3" t="str">
        <f t="shared" si="0"/>
        <v>1502=BR&amp;1502=BR:1505;</v>
      </c>
      <c r="D17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</v>
      </c>
    </row>
    <row r="18" spans="1:4">
      <c r="A18" s="3" t="s">
        <v>70</v>
      </c>
      <c r="B18" s="3">
        <v>1505</v>
      </c>
      <c r="C18" s="3" t="str">
        <f t="shared" si="0"/>
        <v>1502=VG&amp;1502=VG:1505;</v>
      </c>
      <c r="D18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</v>
      </c>
    </row>
    <row r="19" spans="1:4">
      <c r="A19" s="3" t="s">
        <v>71</v>
      </c>
      <c r="B19" s="3">
        <v>1505</v>
      </c>
      <c r="C19" s="3" t="str">
        <f t="shared" si="0"/>
        <v>1502=BG&amp;1502=BG:1505;</v>
      </c>
      <c r="D19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</v>
      </c>
    </row>
    <row r="20" spans="1:4">
      <c r="A20" s="3" t="s">
        <v>72</v>
      </c>
      <c r="B20" s="3">
        <v>1505</v>
      </c>
      <c r="C20" s="3" t="str">
        <f t="shared" si="0"/>
        <v>1502=BF&amp;1502=BF:1505;</v>
      </c>
      <c r="D20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</v>
      </c>
    </row>
    <row r="21" spans="1:4">
      <c r="A21" s="3" t="s">
        <v>73</v>
      </c>
      <c r="B21" s="3">
        <v>1505</v>
      </c>
      <c r="C21" s="3" t="str">
        <f t="shared" si="0"/>
        <v>1502=BI&amp;1502=BI:1505;</v>
      </c>
      <c r="D21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</v>
      </c>
    </row>
    <row r="22" spans="1:4">
      <c r="A22" s="3" t="s">
        <v>74</v>
      </c>
      <c r="B22" s="3">
        <v>1505</v>
      </c>
      <c r="C22" s="3" t="str">
        <f t="shared" si="0"/>
        <v>1502=KH&amp;1502=KH:1505;</v>
      </c>
      <c r="D22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</v>
      </c>
    </row>
    <row r="23" spans="1:4">
      <c r="A23" s="3" t="s">
        <v>75</v>
      </c>
      <c r="B23" s="3">
        <v>1503</v>
      </c>
      <c r="C23" s="3" t="str">
        <f t="shared" si="0"/>
        <v>1502=CA&amp;1502=CA:1503;</v>
      </c>
      <c r="D23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</v>
      </c>
    </row>
    <row r="24" spans="1:4">
      <c r="A24" s="3" t="s">
        <v>76</v>
      </c>
      <c r="B24" s="3">
        <v>1505</v>
      </c>
      <c r="C24" s="3" t="str">
        <f t="shared" si="0"/>
        <v>1502=CF&amp;1502=CF:1505;</v>
      </c>
      <c r="D24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</v>
      </c>
    </row>
    <row r="25" spans="1:4">
      <c r="A25" s="3" t="s">
        <v>77</v>
      </c>
      <c r="B25" s="3">
        <v>1505</v>
      </c>
      <c r="C25" s="3" t="str">
        <f t="shared" si="0"/>
        <v>1502=TD&amp;1502=TD:1505;</v>
      </c>
      <c r="D25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</v>
      </c>
    </row>
    <row r="26" spans="1:4">
      <c r="A26" s="3" t="s">
        <v>78</v>
      </c>
      <c r="B26" s="3">
        <v>1505</v>
      </c>
      <c r="C26" s="3" t="str">
        <f t="shared" si="0"/>
        <v>1502=CL&amp;1502=CL:1505;</v>
      </c>
      <c r="D26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</v>
      </c>
    </row>
    <row r="27" spans="1:4">
      <c r="A27" s="3" t="s">
        <v>79</v>
      </c>
      <c r="B27" s="3">
        <v>1505</v>
      </c>
      <c r="C27" s="3" t="str">
        <f t="shared" si="0"/>
        <v>1502=CN&amp;1502=CN:1505;</v>
      </c>
      <c r="D27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</v>
      </c>
    </row>
    <row r="28" spans="1:4">
      <c r="A28" s="3" t="s">
        <v>80</v>
      </c>
      <c r="B28" s="3">
        <v>1505</v>
      </c>
      <c r="C28" s="3" t="str">
        <f t="shared" si="0"/>
        <v>1502=CO&amp;1502=CO:1505;</v>
      </c>
      <c r="D28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</v>
      </c>
    </row>
    <row r="29" spans="1:4">
      <c r="A29" s="3" t="s">
        <v>81</v>
      </c>
      <c r="B29" s="3">
        <v>1505</v>
      </c>
      <c r="C29" s="3" t="str">
        <f t="shared" si="0"/>
        <v>1502=KM&amp;1502=KM:1505;</v>
      </c>
      <c r="D29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</v>
      </c>
    </row>
    <row r="30" spans="1:4">
      <c r="A30" s="3" t="s">
        <v>82</v>
      </c>
      <c r="B30" s="3">
        <v>1505</v>
      </c>
      <c r="C30" s="3" t="str">
        <f t="shared" si="0"/>
        <v>1502=CR&amp;1502=CR:1505;</v>
      </c>
      <c r="D30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</v>
      </c>
    </row>
    <row r="31" spans="1:4">
      <c r="A31" s="3" t="s">
        <v>83</v>
      </c>
      <c r="B31" s="3">
        <v>1505</v>
      </c>
      <c r="C31" s="3" t="str">
        <f t="shared" si="0"/>
        <v>1502=CY&amp;1502=CY:1505;</v>
      </c>
      <c r="D31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</v>
      </c>
    </row>
    <row r="32" spans="1:4">
      <c r="A32" s="3" t="s">
        <v>84</v>
      </c>
      <c r="B32" s="3">
        <v>1503</v>
      </c>
      <c r="C32" s="3" t="str">
        <f t="shared" si="0"/>
        <v>1502=CZ&amp;1502=CZ:1503;</v>
      </c>
      <c r="D32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</v>
      </c>
    </row>
    <row r="33" spans="1:4">
      <c r="A33" s="3" t="s">
        <v>85</v>
      </c>
      <c r="B33" s="3">
        <v>1505</v>
      </c>
      <c r="C33" s="3" t="str">
        <f t="shared" si="0"/>
        <v>1502=CD&amp;1502=CD:1505;</v>
      </c>
      <c r="D33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</v>
      </c>
    </row>
    <row r="34" spans="1:4">
      <c r="A34" s="3" t="s">
        <v>86</v>
      </c>
      <c r="B34" s="3">
        <v>1503</v>
      </c>
      <c r="C34" s="3" t="str">
        <f t="shared" si="0"/>
        <v>1502=DK&amp;1502=DK:1503;</v>
      </c>
      <c r="D34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</v>
      </c>
    </row>
    <row r="35" spans="1:4">
      <c r="A35" s="3" t="s">
        <v>87</v>
      </c>
      <c r="B35" s="3">
        <v>1503</v>
      </c>
      <c r="C35" s="3" t="str">
        <f t="shared" si="0"/>
        <v>1502=DC&amp;1502=DC:1503;</v>
      </c>
      <c r="D35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</v>
      </c>
    </row>
    <row r="36" spans="1:4">
      <c r="A36" s="3" t="s">
        <v>88</v>
      </c>
      <c r="B36" s="3">
        <v>1505</v>
      </c>
      <c r="C36" s="3" t="str">
        <f t="shared" si="0"/>
        <v>1502=DJ&amp;1502=DJ:1505;</v>
      </c>
      <c r="D36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</v>
      </c>
    </row>
    <row r="37" spans="1:4">
      <c r="A37" s="3" t="s">
        <v>89</v>
      </c>
      <c r="B37" s="3">
        <v>1505</v>
      </c>
      <c r="C37" s="3" t="str">
        <f t="shared" si="0"/>
        <v>1502=DM&amp;1502=DM:1505;</v>
      </c>
      <c r="D37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</v>
      </c>
    </row>
    <row r="38" spans="1:4">
      <c r="A38" s="3" t="s">
        <v>90</v>
      </c>
      <c r="B38" s="3">
        <v>1505</v>
      </c>
      <c r="C38" s="3" t="str">
        <f t="shared" si="0"/>
        <v>1502=DO&amp;1502=DO:1505;</v>
      </c>
      <c r="D38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</v>
      </c>
    </row>
    <row r="39" spans="1:4">
      <c r="A39" s="3" t="s">
        <v>91</v>
      </c>
      <c r="B39" s="3">
        <v>1505</v>
      </c>
      <c r="C39" s="3" t="str">
        <f t="shared" si="0"/>
        <v>1502=TL&amp;1502=TL:1505;</v>
      </c>
      <c r="D39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</v>
      </c>
    </row>
    <row r="40" spans="1:4">
      <c r="A40" s="3" t="s">
        <v>92</v>
      </c>
      <c r="B40" s="3">
        <v>1503</v>
      </c>
      <c r="C40" s="3" t="str">
        <f t="shared" si="0"/>
        <v>1502=EG&amp;1502=EG:1503;</v>
      </c>
      <c r="D40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</v>
      </c>
    </row>
    <row r="41" spans="1:4">
      <c r="A41" s="3" t="s">
        <v>93</v>
      </c>
      <c r="B41" s="3">
        <v>1505</v>
      </c>
      <c r="C41" s="3" t="str">
        <f t="shared" si="0"/>
        <v>1502=SV&amp;1502=SV:1505;</v>
      </c>
      <c r="D41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</v>
      </c>
    </row>
    <row r="42" spans="1:4">
      <c r="A42" s="3" t="s">
        <v>94</v>
      </c>
      <c r="B42" s="3">
        <v>1505</v>
      </c>
      <c r="C42" s="3" t="str">
        <f t="shared" si="0"/>
        <v>1502=GQ&amp;1502=GQ:1505;</v>
      </c>
      <c r="D42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</v>
      </c>
    </row>
    <row r="43" spans="1:4">
      <c r="A43" s="3" t="s">
        <v>95</v>
      </c>
      <c r="B43" s="3">
        <v>1505</v>
      </c>
      <c r="C43" s="3" t="str">
        <f t="shared" si="0"/>
        <v>1502=ER&amp;1502=ER:1505;</v>
      </c>
      <c r="D43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</v>
      </c>
    </row>
    <row r="44" spans="1:4">
      <c r="A44" s="3" t="s">
        <v>96</v>
      </c>
      <c r="B44" s="3">
        <v>1505</v>
      </c>
      <c r="C44" s="3" t="str">
        <f t="shared" si="0"/>
        <v>1502=EE&amp;1502=EE:1505;</v>
      </c>
      <c r="D44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</v>
      </c>
    </row>
    <row r="45" spans="1:4">
      <c r="A45" s="3" t="s">
        <v>97</v>
      </c>
      <c r="B45" s="3">
        <v>1505</v>
      </c>
      <c r="C45" s="3" t="str">
        <f t="shared" si="0"/>
        <v>1502=ET&amp;1502=ET:1505;</v>
      </c>
      <c r="D45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</v>
      </c>
    </row>
    <row r="46" spans="1:4">
      <c r="A46" s="3" t="s">
        <v>98</v>
      </c>
      <c r="B46" s="3">
        <v>1503</v>
      </c>
      <c r="C46" s="3" t="str">
        <f t="shared" si="0"/>
        <v>1502=FI&amp;1502=FI:1503;</v>
      </c>
      <c r="D46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</v>
      </c>
    </row>
    <row r="47" spans="1:4">
      <c r="A47" s="3" t="s">
        <v>99</v>
      </c>
      <c r="B47" s="3">
        <v>1503</v>
      </c>
      <c r="C47" s="3" t="str">
        <f t="shared" si="0"/>
        <v>1502=FR&amp;1502=FR:1503;</v>
      </c>
      <c r="D47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</v>
      </c>
    </row>
    <row r="48" spans="1:4">
      <c r="A48" s="3" t="s">
        <v>100</v>
      </c>
      <c r="B48" s="3">
        <v>1505</v>
      </c>
      <c r="C48" s="3" t="str">
        <f t="shared" si="0"/>
        <v>1502=GM&amp;1502=GM:1505;</v>
      </c>
      <c r="D48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</v>
      </c>
    </row>
    <row r="49" spans="1:4">
      <c r="A49" s="3" t="s">
        <v>101</v>
      </c>
      <c r="B49" s="3">
        <v>1503</v>
      </c>
      <c r="C49" s="3" t="str">
        <f t="shared" si="0"/>
        <v>1502=DE&amp;1502=DE:1503;</v>
      </c>
      <c r="D49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</v>
      </c>
    </row>
    <row r="50" spans="1:4">
      <c r="A50" s="3" t="s">
        <v>102</v>
      </c>
      <c r="B50" s="3">
        <v>1503</v>
      </c>
      <c r="C50" s="3" t="str">
        <f t="shared" si="0"/>
        <v>1502=GR&amp;1502=GR:1503;</v>
      </c>
      <c r="D50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</v>
      </c>
    </row>
    <row r="51" spans="1:4">
      <c r="A51" s="3" t="s">
        <v>103</v>
      </c>
      <c r="B51" s="3">
        <v>1505</v>
      </c>
      <c r="C51" s="3" t="str">
        <f t="shared" si="0"/>
        <v>1502=GD&amp;1502=GD:1505;</v>
      </c>
      <c r="D51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</v>
      </c>
    </row>
    <row r="52" spans="1:4">
      <c r="A52" s="3" t="s">
        <v>104</v>
      </c>
      <c r="B52" s="3">
        <v>1505</v>
      </c>
      <c r="C52" s="3" t="str">
        <f t="shared" si="0"/>
        <v>1502=GT&amp;1502=GT:1505;</v>
      </c>
      <c r="D52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</v>
      </c>
    </row>
    <row r="53" spans="1:4">
      <c r="A53" s="3" t="s">
        <v>105</v>
      </c>
      <c r="B53" s="3">
        <v>1503</v>
      </c>
      <c r="C53" s="3" t="str">
        <f t="shared" si="0"/>
        <v>1502=GU&amp;1502=GU:1503;</v>
      </c>
      <c r="D53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</v>
      </c>
    </row>
    <row r="54" spans="1:4">
      <c r="A54" s="3" t="s">
        <v>106</v>
      </c>
      <c r="B54" s="3">
        <v>1505</v>
      </c>
      <c r="C54" s="3" t="str">
        <f t="shared" si="0"/>
        <v>1502=GN&amp;1502=GN:1505;</v>
      </c>
      <c r="D54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</v>
      </c>
    </row>
    <row r="55" spans="1:4">
      <c r="A55" s="3" t="s">
        <v>107</v>
      </c>
      <c r="B55" s="3">
        <v>1505</v>
      </c>
      <c r="C55" s="3" t="str">
        <f t="shared" si="0"/>
        <v>1502=GW&amp;1502=GW:1505;</v>
      </c>
      <c r="D55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</v>
      </c>
    </row>
    <row r="56" spans="1:4">
      <c r="A56" s="3" t="s">
        <v>108</v>
      </c>
      <c r="B56" s="3">
        <v>1505</v>
      </c>
      <c r="C56" s="3" t="str">
        <f t="shared" si="0"/>
        <v>1502=GY&amp;1502=GY:1505;</v>
      </c>
      <c r="D56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</v>
      </c>
    </row>
    <row r="57" spans="1:4">
      <c r="A57" s="3" t="s">
        <v>109</v>
      </c>
      <c r="B57" s="3">
        <v>1505</v>
      </c>
      <c r="C57" s="3" t="str">
        <f t="shared" si="0"/>
        <v>1502=HT&amp;1502=HT:1505;</v>
      </c>
      <c r="D57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</v>
      </c>
    </row>
    <row r="58" spans="1:4">
      <c r="A58" s="3" t="s">
        <v>110</v>
      </c>
      <c r="B58" s="3">
        <v>1505</v>
      </c>
      <c r="C58" s="3" t="str">
        <f t="shared" si="0"/>
        <v>1502=HN&amp;1502=HN:1505;</v>
      </c>
      <c r="D58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</v>
      </c>
    </row>
    <row r="59" spans="1:4">
      <c r="A59" s="3" t="s">
        <v>111</v>
      </c>
      <c r="B59" s="3">
        <v>1505</v>
      </c>
      <c r="C59" s="3" t="str">
        <f t="shared" si="0"/>
        <v>1502=HK&amp;1502=HK:1505;</v>
      </c>
      <c r="D59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</v>
      </c>
    </row>
    <row r="60" spans="1:4">
      <c r="A60" s="3" t="s">
        <v>112</v>
      </c>
      <c r="B60" s="3">
        <v>1505</v>
      </c>
      <c r="C60" s="3" t="str">
        <f t="shared" si="0"/>
        <v>1502=HU&amp;1502=HU:1505;</v>
      </c>
      <c r="D60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</v>
      </c>
    </row>
    <row r="61" spans="1:4">
      <c r="A61" s="3" t="s">
        <v>113</v>
      </c>
      <c r="B61" s="3">
        <v>1505</v>
      </c>
      <c r="C61" s="3" t="str">
        <f t="shared" si="0"/>
        <v>1502=IS&amp;1502=IS:1505;</v>
      </c>
      <c r="D61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</v>
      </c>
    </row>
    <row r="62" spans="1:4">
      <c r="A62" s="3" t="s">
        <v>114</v>
      </c>
      <c r="B62" s="3">
        <v>1505</v>
      </c>
      <c r="C62" s="3" t="str">
        <f t="shared" si="0"/>
        <v>1502=IN&amp;1502=IN:1505;</v>
      </c>
      <c r="D62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</v>
      </c>
    </row>
    <row r="63" spans="1:4">
      <c r="A63" s="3" t="s">
        <v>115</v>
      </c>
      <c r="B63" s="3">
        <v>1505</v>
      </c>
      <c r="C63" s="3" t="str">
        <f t="shared" si="0"/>
        <v>1502=ID&amp;1502=ID:1505;</v>
      </c>
      <c r="D63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</v>
      </c>
    </row>
    <row r="64" spans="1:4">
      <c r="A64" s="3" t="s">
        <v>116</v>
      </c>
      <c r="B64" s="3">
        <v>1505</v>
      </c>
      <c r="C64" s="3" t="str">
        <f t="shared" si="0"/>
        <v>1502=IE&amp;1502=IE:1505;</v>
      </c>
      <c r="D64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</v>
      </c>
    </row>
    <row r="65" spans="1:4">
      <c r="A65" s="3" t="s">
        <v>117</v>
      </c>
      <c r="B65" s="3">
        <v>1503</v>
      </c>
      <c r="C65" s="3" t="str">
        <f t="shared" si="0"/>
        <v>1502=IL&amp;1502=IL:1503;</v>
      </c>
      <c r="D65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</v>
      </c>
    </row>
    <row r="66" spans="1:4">
      <c r="A66" s="3" t="s">
        <v>118</v>
      </c>
      <c r="B66" s="3">
        <v>1503</v>
      </c>
      <c r="C66" s="3" t="str">
        <f t="shared" ref="C66:C129" si="2">"1502="&amp;A66&amp;"&amp;1502="&amp;A66&amp;":"&amp;TEXT(B66,0)&amp;";"</f>
        <v>1502=IT&amp;1502=IT:1503;</v>
      </c>
      <c r="D66" s="3" t="str">
        <f t="shared" si="1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</v>
      </c>
    </row>
    <row r="67" spans="1:4">
      <c r="A67" s="3" t="s">
        <v>119</v>
      </c>
      <c r="B67" s="3">
        <v>1505</v>
      </c>
      <c r="C67" s="3" t="str">
        <f t="shared" si="2"/>
        <v>1502=JM&amp;1502=JM:1505;</v>
      </c>
      <c r="D67" s="3" t="str">
        <f t="shared" ref="D67:D130" si="3">D66&amp;C67</f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</v>
      </c>
    </row>
    <row r="68" spans="1:4">
      <c r="A68" s="3" t="s">
        <v>120</v>
      </c>
      <c r="B68" s="3">
        <v>1505</v>
      </c>
      <c r="C68" s="3" t="str">
        <f t="shared" si="2"/>
        <v>1502=JP&amp;1502=JP:1505;</v>
      </c>
      <c r="D68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</v>
      </c>
    </row>
    <row r="69" spans="1:4">
      <c r="A69" s="3" t="s">
        <v>121</v>
      </c>
      <c r="B69" s="3">
        <v>1505</v>
      </c>
      <c r="C69" s="3" t="str">
        <f t="shared" si="2"/>
        <v>1502=KI&amp;1502=KI:1505;</v>
      </c>
      <c r="D69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</v>
      </c>
    </row>
    <row r="70" spans="1:4">
      <c r="A70" s="3" t="s">
        <v>122</v>
      </c>
      <c r="B70" s="3">
        <v>1505</v>
      </c>
      <c r="C70" s="3" t="str">
        <f t="shared" si="2"/>
        <v>1502=KR&amp;1502=KR:1505;</v>
      </c>
      <c r="D70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</v>
      </c>
    </row>
    <row r="71" spans="1:4">
      <c r="A71" s="3" t="s">
        <v>123</v>
      </c>
      <c r="B71" s="3">
        <v>1505</v>
      </c>
      <c r="C71" s="3" t="str">
        <f t="shared" si="2"/>
        <v>1502=LA&amp;1502=LA:1505;</v>
      </c>
      <c r="D71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</v>
      </c>
    </row>
    <row r="72" spans="1:4">
      <c r="A72" s="3" t="s">
        <v>124</v>
      </c>
      <c r="B72" s="3">
        <v>1505</v>
      </c>
      <c r="C72" s="3" t="str">
        <f t="shared" si="2"/>
        <v>1502=LV&amp;1502=LV:1505;</v>
      </c>
      <c r="D72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</v>
      </c>
    </row>
    <row r="73" spans="1:4">
      <c r="A73" s="3" t="s">
        <v>125</v>
      </c>
      <c r="B73" s="3">
        <v>1505</v>
      </c>
      <c r="C73" s="3" t="str">
        <f t="shared" si="2"/>
        <v>1502=LS&amp;1502=LS:1505;</v>
      </c>
      <c r="D73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</v>
      </c>
    </row>
    <row r="74" spans="1:4">
      <c r="A74" s="3" t="s">
        <v>126</v>
      </c>
      <c r="B74" s="3">
        <v>1505</v>
      </c>
      <c r="C74" s="3" t="str">
        <f t="shared" si="2"/>
        <v>1502=LR&amp;1502=LR:1505;</v>
      </c>
      <c r="D74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</v>
      </c>
    </row>
    <row r="75" spans="1:4">
      <c r="A75" s="3" t="s">
        <v>127</v>
      </c>
      <c r="B75" s="3">
        <v>1505</v>
      </c>
      <c r="C75" s="3" t="str">
        <f t="shared" si="2"/>
        <v>1502=LI&amp;1502=LI:1505;</v>
      </c>
      <c r="D75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</v>
      </c>
    </row>
    <row r="76" spans="1:4">
      <c r="A76" s="3" t="s">
        <v>128</v>
      </c>
      <c r="B76" s="3">
        <v>1505</v>
      </c>
      <c r="C76" s="3" t="str">
        <f t="shared" si="2"/>
        <v>1502=LT&amp;1502=LT:1505;</v>
      </c>
      <c r="D76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</v>
      </c>
    </row>
    <row r="77" spans="1:4">
      <c r="A77" s="3" t="s">
        <v>129</v>
      </c>
      <c r="B77" s="3">
        <v>1503</v>
      </c>
      <c r="C77" s="3" t="str">
        <f t="shared" si="2"/>
        <v>1502=LU&amp;1502=LU:1503;</v>
      </c>
      <c r="D77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</v>
      </c>
    </row>
    <row r="78" spans="1:4">
      <c r="A78" s="3" t="s">
        <v>130</v>
      </c>
      <c r="B78" s="3">
        <v>1505</v>
      </c>
      <c r="C78" s="3" t="str">
        <f t="shared" si="2"/>
        <v>1502=MG&amp;1502=MG:1505;</v>
      </c>
      <c r="D78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</v>
      </c>
    </row>
    <row r="79" spans="1:4">
      <c r="A79" s="3" t="s">
        <v>131</v>
      </c>
      <c r="B79" s="3">
        <v>1505</v>
      </c>
      <c r="C79" s="3" t="str">
        <f t="shared" si="2"/>
        <v>1502=MW&amp;1502=MW:1505;</v>
      </c>
      <c r="D79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</v>
      </c>
    </row>
    <row r="80" spans="1:4">
      <c r="A80" s="3" t="s">
        <v>132</v>
      </c>
      <c r="B80" s="3">
        <v>1505</v>
      </c>
      <c r="C80" s="3" t="str">
        <f t="shared" si="2"/>
        <v>1502=MY&amp;1502=MY:1505;</v>
      </c>
      <c r="D80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</v>
      </c>
    </row>
    <row r="81" spans="1:4">
      <c r="A81" s="3" t="s">
        <v>133</v>
      </c>
      <c r="B81" s="3">
        <v>1505</v>
      </c>
      <c r="C81" s="3" t="str">
        <f t="shared" si="2"/>
        <v>1502=MV&amp;1502=MV:1505;</v>
      </c>
      <c r="D81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</v>
      </c>
    </row>
    <row r="82" spans="1:4">
      <c r="A82" s="3" t="s">
        <v>134</v>
      </c>
      <c r="B82" s="3">
        <v>1505</v>
      </c>
      <c r="C82" s="3" t="str">
        <f t="shared" si="2"/>
        <v>1502=ML&amp;1502=ML:1505;</v>
      </c>
      <c r="D82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</v>
      </c>
    </row>
    <row r="83" spans="1:4">
      <c r="A83" s="3" t="s">
        <v>135</v>
      </c>
      <c r="B83" s="3">
        <v>1505</v>
      </c>
      <c r="C83" s="3" t="str">
        <f t="shared" si="2"/>
        <v>1502=MT&amp;1502=MT:1505;</v>
      </c>
      <c r="D83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</v>
      </c>
    </row>
    <row r="84" spans="1:4">
      <c r="A84" s="3" t="s">
        <v>136</v>
      </c>
      <c r="B84" s="3">
        <v>1505</v>
      </c>
      <c r="C84" s="3" t="str">
        <f t="shared" si="2"/>
        <v>1502=MR&amp;1502=MR:1505;</v>
      </c>
      <c r="D84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</v>
      </c>
    </row>
    <row r="85" spans="1:4">
      <c r="A85" s="3" t="s">
        <v>137</v>
      </c>
      <c r="B85" s="3">
        <v>1505</v>
      </c>
      <c r="C85" s="3" t="str">
        <f t="shared" si="2"/>
        <v>1502=MX&amp;1502=MX:1505;</v>
      </c>
      <c r="D85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</v>
      </c>
    </row>
    <row r="86" spans="1:4">
      <c r="A86" s="3" t="s">
        <v>138</v>
      </c>
      <c r="B86" s="3">
        <v>1505</v>
      </c>
      <c r="C86" s="3" t="str">
        <f t="shared" si="2"/>
        <v>1502=MS&amp;1502=MS:1505;</v>
      </c>
      <c r="D86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</v>
      </c>
    </row>
    <row r="87" spans="1:4">
      <c r="A87" s="3" t="s">
        <v>139</v>
      </c>
      <c r="B87" s="3">
        <v>1505</v>
      </c>
      <c r="C87" s="3" t="str">
        <f t="shared" si="2"/>
        <v>1502=MA&amp;1502=MA:1505;</v>
      </c>
      <c r="D87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</v>
      </c>
    </row>
    <row r="88" spans="1:4">
      <c r="A88" s="3" t="s">
        <v>140</v>
      </c>
      <c r="B88" s="3">
        <v>1505</v>
      </c>
      <c r="C88" s="3" t="str">
        <f t="shared" si="2"/>
        <v>1502=MZ&amp;1502=MZ:1505;</v>
      </c>
      <c r="D88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</v>
      </c>
    </row>
    <row r="89" spans="1:4">
      <c r="A89" s="3" t="s">
        <v>141</v>
      </c>
      <c r="B89" s="3">
        <v>1505</v>
      </c>
      <c r="C89" s="3" t="str">
        <f t="shared" si="2"/>
        <v>1502=NP&amp;1502=NP:1505;</v>
      </c>
      <c r="D89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</v>
      </c>
    </row>
    <row r="90" spans="1:4">
      <c r="A90" s="3" t="s">
        <v>142</v>
      </c>
      <c r="B90" s="3">
        <v>1503</v>
      </c>
      <c r="C90" s="3" t="str">
        <f t="shared" si="2"/>
        <v>1502=NL&amp;1502=NL:1503;</v>
      </c>
      <c r="D90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</v>
      </c>
    </row>
    <row r="91" spans="1:4">
      <c r="A91" s="3" t="s">
        <v>143</v>
      </c>
      <c r="B91" s="3">
        <v>1505</v>
      </c>
      <c r="C91" s="3" t="str">
        <f t="shared" si="2"/>
        <v>1502=AN&amp;1502=AN:1505;</v>
      </c>
      <c r="D91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</v>
      </c>
    </row>
    <row r="92" spans="1:4">
      <c r="A92" s="3" t="s">
        <v>144</v>
      </c>
      <c r="B92" s="3">
        <v>1505</v>
      </c>
      <c r="C92" s="3" t="str">
        <f t="shared" si="2"/>
        <v>1502=NI&amp;1502=NI:1505;</v>
      </c>
      <c r="D92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</v>
      </c>
    </row>
    <row r="93" spans="1:4">
      <c r="A93" s="3" t="s">
        <v>145</v>
      </c>
      <c r="B93" s="3">
        <v>1505</v>
      </c>
      <c r="C93" s="3" t="str">
        <f t="shared" si="2"/>
        <v>1502=NE&amp;1502=NE:1505;</v>
      </c>
      <c r="D93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</v>
      </c>
    </row>
    <row r="94" spans="1:4">
      <c r="A94" s="3" t="s">
        <v>146</v>
      </c>
      <c r="B94" s="3">
        <v>1503</v>
      </c>
      <c r="C94" s="3" t="str">
        <f t="shared" si="2"/>
        <v>1502=NO&amp;1502=NO:1503;</v>
      </c>
      <c r="D94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</v>
      </c>
    </row>
    <row r="95" spans="1:4">
      <c r="A95" s="3" t="s">
        <v>147</v>
      </c>
      <c r="B95" s="3">
        <v>1505</v>
      </c>
      <c r="C95" s="3" t="str">
        <f t="shared" si="2"/>
        <v>1502=OM&amp;1502=OM:1505;</v>
      </c>
      <c r="D95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</v>
      </c>
    </row>
    <row r="96" spans="1:4">
      <c r="A96" s="3" t="s">
        <v>148</v>
      </c>
      <c r="B96" s="3">
        <v>1505</v>
      </c>
      <c r="C96" s="3" t="str">
        <f t="shared" si="2"/>
        <v>1502=PA&amp;1502=PA:1505;</v>
      </c>
      <c r="D96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</v>
      </c>
    </row>
    <row r="97" spans="1:4">
      <c r="A97" s="3" t="s">
        <v>149</v>
      </c>
      <c r="B97" s="3">
        <v>1505</v>
      </c>
      <c r="C97" s="3" t="str">
        <f t="shared" si="2"/>
        <v>1502=PE&amp;1502=PE:1505;</v>
      </c>
      <c r="D97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</v>
      </c>
    </row>
    <row r="98" spans="1:4">
      <c r="A98" s="3" t="s">
        <v>150</v>
      </c>
      <c r="B98" s="3">
        <v>1505</v>
      </c>
      <c r="C98" s="3" t="str">
        <f t="shared" si="2"/>
        <v>1502=PH&amp;1502=PH:1505;</v>
      </c>
      <c r="D98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</v>
      </c>
    </row>
    <row r="99" spans="1:4">
      <c r="A99" s="3" t="s">
        <v>151</v>
      </c>
      <c r="B99" s="3">
        <v>1503</v>
      </c>
      <c r="C99" s="3" t="str">
        <f t="shared" si="2"/>
        <v>1502=PL&amp;1502=PL:1503;</v>
      </c>
      <c r="D99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</v>
      </c>
    </row>
    <row r="100" spans="1:4">
      <c r="A100" s="3" t="s">
        <v>152</v>
      </c>
      <c r="B100" s="3">
        <v>1503</v>
      </c>
      <c r="C100" s="3" t="str">
        <f t="shared" si="2"/>
        <v>1502=PT&amp;1502=PT:1503;</v>
      </c>
      <c r="D100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</v>
      </c>
    </row>
    <row r="101" spans="1:4">
      <c r="A101" s="3" t="s">
        <v>153</v>
      </c>
      <c r="B101" s="3">
        <v>1503</v>
      </c>
      <c r="C101" s="3" t="str">
        <f t="shared" si="2"/>
        <v>1502=PR&amp;1502=PR:1503;</v>
      </c>
      <c r="D101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</v>
      </c>
    </row>
    <row r="102" spans="1:4">
      <c r="A102" s="3" t="s">
        <v>154</v>
      </c>
      <c r="B102" s="3">
        <v>1505</v>
      </c>
      <c r="C102" s="3" t="str">
        <f t="shared" si="2"/>
        <v>1502=RO&amp;1502=RO:1505;</v>
      </c>
      <c r="D102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</v>
      </c>
    </row>
    <row r="103" spans="1:4">
      <c r="A103" s="3" t="s">
        <v>155</v>
      </c>
      <c r="B103" s="3">
        <v>1505</v>
      </c>
      <c r="C103" s="3" t="str">
        <f t="shared" si="2"/>
        <v>1502=RW&amp;1502=RW:1505;</v>
      </c>
      <c r="D103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</v>
      </c>
    </row>
    <row r="104" spans="1:4">
      <c r="A104" s="3" t="s">
        <v>156</v>
      </c>
      <c r="B104" s="3">
        <v>1505</v>
      </c>
      <c r="C104" s="3" t="str">
        <f t="shared" si="2"/>
        <v>1502=WS&amp;1502=WS:1505;</v>
      </c>
      <c r="D104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</v>
      </c>
    </row>
    <row r="105" spans="1:4">
      <c r="A105" s="3" t="s">
        <v>157</v>
      </c>
      <c r="B105" s="3">
        <v>1505</v>
      </c>
      <c r="C105" s="3" t="str">
        <f t="shared" si="2"/>
        <v>1502=ST&amp;1502=ST:1505;</v>
      </c>
      <c r="D105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</v>
      </c>
    </row>
    <row r="106" spans="1:4">
      <c r="A106" s="3" t="s">
        <v>158</v>
      </c>
      <c r="B106" s="3">
        <v>1505</v>
      </c>
      <c r="C106" s="3" t="str">
        <f t="shared" si="2"/>
        <v>1502=SN&amp;1502=SN:1505;</v>
      </c>
      <c r="D106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</v>
      </c>
    </row>
    <row r="107" spans="1:4">
      <c r="A107" s="3" t="s">
        <v>159</v>
      </c>
      <c r="B107" s="3">
        <v>1505</v>
      </c>
      <c r="C107" s="3" t="str">
        <f t="shared" si="2"/>
        <v>1502=SL&amp;1502=SL:1505;</v>
      </c>
      <c r="D107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</v>
      </c>
    </row>
    <row r="108" spans="1:4">
      <c r="A108" s="3" t="s">
        <v>160</v>
      </c>
      <c r="B108" s="3">
        <v>1505</v>
      </c>
      <c r="C108" s="3" t="str">
        <f t="shared" si="2"/>
        <v>1502=SG&amp;1502=SG:1505;</v>
      </c>
      <c r="D108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</v>
      </c>
    </row>
    <row r="109" spans="1:4">
      <c r="A109" s="3" t="s">
        <v>161</v>
      </c>
      <c r="B109" s="3">
        <v>1505</v>
      </c>
      <c r="C109" s="3" t="str">
        <f t="shared" si="2"/>
        <v>1502=SK&amp;1502=SK:1505;</v>
      </c>
      <c r="D109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</v>
      </c>
    </row>
    <row r="110" spans="1:4">
      <c r="A110" s="3" t="s">
        <v>162</v>
      </c>
      <c r="B110" s="3">
        <v>1505</v>
      </c>
      <c r="C110" s="3" t="str">
        <f t="shared" si="2"/>
        <v>1502=SI&amp;1502=SI:1505;</v>
      </c>
      <c r="D110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</v>
      </c>
    </row>
    <row r="111" spans="1:4">
      <c r="A111" s="3" t="s">
        <v>163</v>
      </c>
      <c r="B111" s="3">
        <v>1505</v>
      </c>
      <c r="C111" s="3" t="str">
        <f t="shared" si="2"/>
        <v>1502=SB&amp;1502=SB:1505;</v>
      </c>
      <c r="D111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</v>
      </c>
    </row>
    <row r="112" spans="1:4">
      <c r="A112" s="3" t="s">
        <v>164</v>
      </c>
      <c r="B112" s="3">
        <v>1505</v>
      </c>
      <c r="C112" s="3" t="str">
        <f t="shared" si="2"/>
        <v>1502=SO&amp;1502=SO:1505;</v>
      </c>
      <c r="D112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</v>
      </c>
    </row>
    <row r="113" spans="1:4">
      <c r="A113" s="3" t="s">
        <v>165</v>
      </c>
      <c r="B113" s="3">
        <v>1503</v>
      </c>
      <c r="C113" s="3" t="str">
        <f t="shared" si="2"/>
        <v>1502=ES&amp;1502=ES:1503;</v>
      </c>
      <c r="D113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</v>
      </c>
    </row>
    <row r="114" spans="1:4">
      <c r="A114" s="3" t="s">
        <v>166</v>
      </c>
      <c r="B114" s="3">
        <v>1505</v>
      </c>
      <c r="C114" s="3" t="str">
        <f t="shared" si="2"/>
        <v>1502=KN&amp;1502=KN:1505;</v>
      </c>
      <c r="D114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</v>
      </c>
    </row>
    <row r="115" spans="1:4">
      <c r="A115" s="3" t="s">
        <v>167</v>
      </c>
      <c r="B115" s="3">
        <v>1505</v>
      </c>
      <c r="C115" s="3" t="str">
        <f t="shared" si="2"/>
        <v>1502=LC&amp;1502=LC:1505;</v>
      </c>
      <c r="D115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</v>
      </c>
    </row>
    <row r="116" spans="1:4">
      <c r="A116" s="3" t="s">
        <v>168</v>
      </c>
      <c r="B116" s="3">
        <v>1505</v>
      </c>
      <c r="C116" s="3" t="str">
        <f t="shared" si="2"/>
        <v>1502=VC&amp;1502=VC:1505;</v>
      </c>
      <c r="D116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</v>
      </c>
    </row>
    <row r="117" spans="1:4">
      <c r="A117" s="3" t="s">
        <v>169</v>
      </c>
      <c r="B117" s="3">
        <v>1503</v>
      </c>
      <c r="C117" s="3" t="str">
        <f t="shared" si="2"/>
        <v>1502=SE&amp;1502=SE:1503;</v>
      </c>
      <c r="D117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</v>
      </c>
    </row>
    <row r="118" spans="1:4">
      <c r="A118" s="3" t="s">
        <v>170</v>
      </c>
      <c r="B118" s="3">
        <v>1503</v>
      </c>
      <c r="C118" s="3" t="str">
        <f t="shared" si="2"/>
        <v>1502=CH&amp;1502=CH:1503;</v>
      </c>
      <c r="D118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</v>
      </c>
    </row>
    <row r="119" spans="1:4">
      <c r="A119" s="3" t="s">
        <v>171</v>
      </c>
      <c r="B119" s="3">
        <v>1505</v>
      </c>
      <c r="C119" s="3" t="str">
        <f t="shared" si="2"/>
        <v>1502=TW&amp;1502=TW:1505;</v>
      </c>
      <c r="D119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</v>
      </c>
    </row>
    <row r="120" spans="1:4">
      <c r="A120" s="3" t="s">
        <v>172</v>
      </c>
      <c r="B120" s="3">
        <v>1505</v>
      </c>
      <c r="C120" s="3" t="str">
        <f t="shared" si="2"/>
        <v>1502=TZ&amp;1502=TZ:1505;</v>
      </c>
      <c r="D120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</v>
      </c>
    </row>
    <row r="121" spans="1:4">
      <c r="A121" s="3" t="s">
        <v>173</v>
      </c>
      <c r="B121" s="3">
        <v>1505</v>
      </c>
      <c r="C121" s="3" t="str">
        <f t="shared" si="2"/>
        <v>1502=TH&amp;1502=TH:1505;</v>
      </c>
      <c r="D121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</v>
      </c>
    </row>
    <row r="122" spans="1:4">
      <c r="A122" s="3" t="s">
        <v>174</v>
      </c>
      <c r="B122" s="3">
        <v>1505</v>
      </c>
      <c r="C122" s="3" t="str">
        <f t="shared" si="2"/>
        <v>1502=TG&amp;1502=TG:1505;</v>
      </c>
      <c r="D122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1502=TG&amp;1502=TG:1505;</v>
      </c>
    </row>
    <row r="123" spans="1:4">
      <c r="A123" s="3" t="s">
        <v>175</v>
      </c>
      <c r="B123" s="3">
        <v>1505</v>
      </c>
      <c r="C123" s="3" t="str">
        <f t="shared" si="2"/>
        <v>1502=TT&amp;1502=TT:1505;</v>
      </c>
      <c r="D123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1502=TG&amp;1502=TG:1505;1502=TT&amp;1502=TT:1505;</v>
      </c>
    </row>
    <row r="124" spans="1:4">
      <c r="A124" s="3" t="s">
        <v>176</v>
      </c>
      <c r="B124" s="3">
        <v>1505</v>
      </c>
      <c r="C124" s="3" t="str">
        <f t="shared" si="2"/>
        <v>1502=TN&amp;1502=TN:1505;</v>
      </c>
      <c r="D124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1502=TG&amp;1502=TG:1505;1502=TT&amp;1502=TT:1505;1502=TN&amp;1502=TN:1505;</v>
      </c>
    </row>
    <row r="125" spans="1:4">
      <c r="A125" s="3" t="s">
        <v>177</v>
      </c>
      <c r="B125" s="3">
        <v>1503</v>
      </c>
      <c r="C125" s="3" t="str">
        <f t="shared" si="2"/>
        <v>1502=TR&amp;1502=TR:1503;</v>
      </c>
      <c r="D125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1502=TG&amp;1502=TG:1505;1502=TT&amp;1502=TT:1505;1502=TN&amp;1502=TN:1505;1502=TR&amp;1502=TR:1503;</v>
      </c>
    </row>
    <row r="126" spans="1:4">
      <c r="A126" s="3" t="s">
        <v>178</v>
      </c>
      <c r="B126" s="3">
        <v>1505</v>
      </c>
      <c r="C126" s="3" t="str">
        <f t="shared" si="2"/>
        <v>1502=TV&amp;1502=TV:1505;</v>
      </c>
      <c r="D126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1502=TG&amp;1502=TG:1505;1502=TT&amp;1502=TT:1505;1502=TN&amp;1502=TN:1505;1502=TR&amp;1502=TR:1503;1502=TV&amp;1502=TV:1505;</v>
      </c>
    </row>
    <row r="127" spans="1:4">
      <c r="A127" s="3" t="s">
        <v>179</v>
      </c>
      <c r="B127" s="3">
        <v>1505</v>
      </c>
      <c r="C127" s="3" t="str">
        <f t="shared" si="2"/>
        <v>1502=UG&amp;1502=UG:1505;</v>
      </c>
      <c r="D127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1502=TG&amp;1502=TG:1505;1502=TT&amp;1502=TT:1505;1502=TN&amp;1502=TN:1505;1502=TR&amp;1502=TR:1503;1502=TV&amp;1502=TV:1505;1502=UG&amp;1502=UG:1505;</v>
      </c>
    </row>
    <row r="128" spans="1:4">
      <c r="A128" s="3" t="s">
        <v>180</v>
      </c>
      <c r="B128" s="3">
        <v>1505</v>
      </c>
      <c r="C128" s="3" t="str">
        <f t="shared" si="2"/>
        <v>1502=UA&amp;1502=UA:1505;</v>
      </c>
      <c r="D128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1502=TG&amp;1502=TG:1505;1502=TT&amp;1502=TT:1505;1502=TN&amp;1502=TN:1505;1502=TR&amp;1502=TR:1503;1502=TV&amp;1502=TV:1505;1502=UG&amp;1502=UG:1505;1502=UA&amp;1502=UA:1505;</v>
      </c>
    </row>
    <row r="129" spans="1:4">
      <c r="A129" s="3" t="s">
        <v>181</v>
      </c>
      <c r="B129" s="3">
        <v>1503</v>
      </c>
      <c r="C129" s="3" t="str">
        <f t="shared" si="2"/>
        <v>1502=GB&amp;1502=GB:1503;</v>
      </c>
      <c r="D129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1502=TG&amp;1502=TG:1505;1502=TT&amp;1502=TT:1505;1502=TN&amp;1502=TN:1505;1502=TR&amp;1502=TR:1503;1502=TV&amp;1502=TV:1505;1502=UG&amp;1502=UG:1505;1502=UA&amp;1502=UA:1505;1502=GB&amp;1502=GB:1503;</v>
      </c>
    </row>
    <row r="130" spans="1:4">
      <c r="A130" s="3" t="s">
        <v>182</v>
      </c>
      <c r="B130" s="3">
        <v>1505</v>
      </c>
      <c r="C130" s="3" t="str">
        <f t="shared" ref="C130:C133" si="4">"1502="&amp;A130&amp;"&amp;1502="&amp;A130&amp;":"&amp;TEXT(B130,0)&amp;";"</f>
        <v>1502=VU&amp;1502=VU:1505;</v>
      </c>
      <c r="D130" s="3" t="str">
        <f t="shared" si="3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1502=TG&amp;1502=TG:1505;1502=TT&amp;1502=TT:1505;1502=TN&amp;1502=TN:1505;1502=TR&amp;1502=TR:1503;1502=TV&amp;1502=TV:1505;1502=UG&amp;1502=UG:1505;1502=UA&amp;1502=UA:1505;1502=GB&amp;1502=GB:1503;1502=VU&amp;1502=VU:1505;</v>
      </c>
    </row>
    <row r="131" spans="1:4">
      <c r="A131" s="3" t="s">
        <v>183</v>
      </c>
      <c r="B131" s="3">
        <v>1505</v>
      </c>
      <c r="C131" s="3" t="str">
        <f t="shared" si="4"/>
        <v>1502=VN&amp;1502=VN:1505;</v>
      </c>
      <c r="D131" s="3" t="str">
        <f t="shared" ref="D131:D133" si="5">D130&amp;C131</f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1502=TG&amp;1502=TG:1505;1502=TT&amp;1502=TT:1505;1502=TN&amp;1502=TN:1505;1502=TR&amp;1502=TR:1503;1502=TV&amp;1502=TV:1505;1502=UG&amp;1502=UG:1505;1502=UA&amp;1502=UA:1505;1502=GB&amp;1502=GB:1503;1502=VU&amp;1502=VU:1505;1502=VN&amp;1502=VN:1505;</v>
      </c>
    </row>
    <row r="132" spans="1:4">
      <c r="A132" s="3" t="s">
        <v>184</v>
      </c>
      <c r="B132" s="3">
        <v>1505</v>
      </c>
      <c r="C132" s="3" t="str">
        <f t="shared" si="4"/>
        <v>1502=YE&amp;1502=YE:1505;</v>
      </c>
      <c r="D132" s="3" t="str">
        <f t="shared" si="5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1502=TG&amp;1502=TG:1505;1502=TT&amp;1502=TT:1505;1502=TN&amp;1502=TN:1505;1502=TR&amp;1502=TR:1503;1502=TV&amp;1502=TV:1505;1502=UG&amp;1502=UG:1505;1502=UA&amp;1502=UA:1505;1502=GB&amp;1502=GB:1503;1502=VU&amp;1502=VU:1505;1502=VN&amp;1502=VN:1505;1502=YE&amp;1502=YE:1505;</v>
      </c>
    </row>
    <row r="133" spans="1:4">
      <c r="A133" s="3" t="s">
        <v>185</v>
      </c>
      <c r="B133" s="3">
        <v>1505</v>
      </c>
      <c r="C133" s="3" t="str">
        <f t="shared" si="4"/>
        <v>1502=ZM&amp;1502=ZM:1505;</v>
      </c>
      <c r="D133" s="3" t="str">
        <f t="shared" si="5"/>
        <v>1502=US&amp;1502=US:1503;1502=AF&amp;1502=AF:1505;1502=AS&amp;1502=AS:1503;1502=AO&amp;1502=AO:1505;1502=AG&amp;1502=AG:1505;1502=AW&amp;1502=AW:1505;1502=AU&amp;1502=AU:1503;1502=AT&amp;1502=AT:1503;1502=BS&amp;1502=BS:1505;1502=BH&amp;1502=BH:1505;1502=BD&amp;1502=BD:1505;1502=BB&amp;1502=BB:1505;1502=BE&amp;1502=BE:1503;1502=BZ&amp;1502=BZ:1505;1502=BJ&amp;1502=BJ:1505;1502=BT&amp;1502=BT:1505;1502=BR&amp;1502=BR:1505;1502=VG&amp;1502=VG:1505;1502=BG&amp;1502=BG:1505;1502=BF&amp;1502=BF:1505;1502=BI&amp;1502=BI:1505;1502=KH&amp;1502=KH:1505;1502=CA&amp;1502=CA:1503;1502=CF&amp;1502=CF:1505;1502=TD&amp;1502=TD:1505;1502=CL&amp;1502=CL:1505;1502=CN&amp;1502=CN:1505;1502=CO&amp;1502=CO:1505;1502=KM&amp;1502=KM:1505;1502=CR&amp;1502=CR:1505;1502=CY&amp;1502=CY:1505;1502=CZ&amp;1502=CZ:1503;1502=CD&amp;1502=CD:1505;1502=DK&amp;1502=DK:1503;1502=DC&amp;1502=DC:1503;1502=DJ&amp;1502=DJ:1505;1502=DM&amp;1502=DM:1505;1502=DO&amp;1502=DO:1505;1502=TL&amp;1502=TL:1505;1502=EG&amp;1502=EG:1503;1502=SV&amp;1502=SV:1505;1502=GQ&amp;1502=GQ:1505;1502=ER&amp;1502=ER:1505;1502=EE&amp;1502=EE:1505;1502=ET&amp;1502=ET:1505;1502=FI&amp;1502=FI:1503;1502=FR&amp;1502=FR:1503;1502=GM&amp;1502=GM:1505;1502=DE&amp;1502=DE:1503;1502=GR&amp;1502=GR:1503;1502=GD&amp;1502=GD:1505;1502=GT&amp;1502=GT:1505;1502=GU&amp;1502=GU:1503;1502=GN&amp;1502=GN:1505;1502=GW&amp;1502=GW:1505;1502=GY&amp;1502=GY:1505;1502=HT&amp;1502=HT:1505;1502=HN&amp;1502=HN:1505;1502=HK&amp;1502=HK:1505;1502=HU&amp;1502=HU:1505;1502=IS&amp;1502=IS:1505;1502=IN&amp;1502=IN:1505;1502=ID&amp;1502=ID:1505;1502=IE&amp;1502=IE:1505;1502=IL&amp;1502=IL:1503;1502=IT&amp;1502=IT:1503;1502=JM&amp;1502=JM:1505;1502=JP&amp;1502=JP:1505;1502=KI&amp;1502=KI:1505;1502=KR&amp;1502=KR:1505;1502=LA&amp;1502=LA:1505;1502=LV&amp;1502=LV:1505;1502=LS&amp;1502=LS:1505;1502=LR&amp;1502=LR:1505;1502=LI&amp;1502=LI:1505;1502=LT&amp;1502=LT:1505;1502=LU&amp;1502=LU:1503;1502=MG&amp;1502=MG:1505;1502=MW&amp;1502=MW:1505;1502=MY&amp;1502=MY:1505;1502=MV&amp;1502=MV:1505;1502=ML&amp;1502=ML:1505;1502=MT&amp;1502=MT:1505;1502=MR&amp;1502=MR:1505;1502=MX&amp;1502=MX:1505;1502=MS&amp;1502=MS:1505;1502=MA&amp;1502=MA:1505;1502=MZ&amp;1502=MZ:1505;1502=NP&amp;1502=NP:1505;1502=NL&amp;1502=NL:1503;1502=AN&amp;1502=AN:1505;1502=NI&amp;1502=NI:1505;1502=NE&amp;1502=NE:1505;1502=NO&amp;1502=NO:1503;1502=OM&amp;1502=OM:1505;1502=PA&amp;1502=PA:1505;1502=PE&amp;1502=PE:1505;1502=PH&amp;1502=PH:1505;1502=PL&amp;1502=PL:1503;1502=PT&amp;1502=PT:1503;1502=PR&amp;1502=PR:1503;1502=RO&amp;1502=RO:1505;1502=RW&amp;1502=RW:1505;1502=WS&amp;1502=WS:1505;1502=ST&amp;1502=ST:1505;1502=SN&amp;1502=SN:1505;1502=SL&amp;1502=SL:1505;1502=SG&amp;1502=SG:1505;1502=SK&amp;1502=SK:1505;1502=SI&amp;1502=SI:1505;1502=SB&amp;1502=SB:1505;1502=SO&amp;1502=SO:1505;1502=ES&amp;1502=ES:1503;1502=KN&amp;1502=KN:1505;1502=LC&amp;1502=LC:1505;1502=VC&amp;1502=VC:1505;1502=SE&amp;1502=SE:1503;1502=CH&amp;1502=CH:1503;1502=TW&amp;1502=TW:1505;1502=TZ&amp;1502=TZ:1505;1502=TH&amp;1502=TH:1505;1502=TG&amp;1502=TG:1505;1502=TT&amp;1502=TT:1505;1502=TN&amp;1502=TN:1505;1502=TR&amp;1502=TR:1503;1502=TV&amp;1502=TV:1505;1502=UG&amp;1502=UG:1505;1502=UA&amp;1502=UA:1505;1502=GB&amp;1502=GB:1503;1502=VU&amp;1502=VU:1505;1502=VN&amp;1502=VN:1505;1502=YE&amp;1502=YE:1505;1502=ZM&amp;1502=ZM:1505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.28515625" defaultRowHeight="12.75"/>
  <sheetData/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7" sqref="B7"/>
    </sheetView>
  </sheetViews>
  <sheetFormatPr defaultColWidth="10.28515625" defaultRowHeight="12.75"/>
  <cols>
    <col min="1" max="1" width="19.85546875" customWidth="1"/>
    <col min="2" max="2" width="163.5703125" customWidth="1"/>
  </cols>
  <sheetData>
    <row r="1" spans="1:2">
      <c r="A1" s="1" t="s">
        <v>18</v>
      </c>
    </row>
    <row r="2" spans="1:2">
      <c r="A2" t="s">
        <v>19</v>
      </c>
      <c r="B2" t="s">
        <v>21</v>
      </c>
    </row>
    <row r="3" spans="1:2">
      <c r="B3" t="s">
        <v>20</v>
      </c>
    </row>
  </sheetData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surveyQuestion</vt:lpstr>
      <vt:lpstr>Sheet1</vt:lpstr>
      <vt:lpstr>Sheet2</vt:lpstr>
      <vt:lpstr>note</vt:lpstr>
      <vt:lpstr>surveyQuestion!Excel_BuiltIn__FilterDatabase_1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</dc:creator>
  <cp:lastModifiedBy>john betancourt</cp:lastModifiedBy>
  <cp:revision>0</cp:revision>
  <cp:lastPrinted>1601-01-01T00:00:00Z</cp:lastPrinted>
  <dcterms:created xsi:type="dcterms:W3CDTF">2005-10-17T17:27:43Z</dcterms:created>
  <dcterms:modified xsi:type="dcterms:W3CDTF">2015-02-22T20:18:21Z</dcterms:modified>
</cp:coreProperties>
</file>