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<sst xmlns="http://schemas.openxmlformats.org/spreadsheetml/2006/main" count="642" uniqueCount="279">
  <si>
    <t>PARTNER_INTERNAL_ID</t>
  </si>
  <si>
    <t>PARTNER_NAME</t>
  </si>
  <si>
    <t>PARTNER_DUNS</t>
  </si>
  <si>
    <t>PARTNER_SAP_ID</t>
  </si>
  <si>
    <t>PARTNER_POC_FIRST_NAME</t>
  </si>
  <si>
    <t>PARTNER_POC_LAST_NAME</t>
  </si>
  <si>
    <t>PARTNER_POC_TITLE</t>
  </si>
  <si>
    <t>PARTNER_POC_PHONE_NUMBER</t>
  </si>
  <si>
    <t>PARTNER_POC_EMAIL_ADDRESS</t>
  </si>
  <si>
    <t>PARTNER_ADDRESS_ONE</t>
  </si>
  <si>
    <t>PARTNER_CITY</t>
  </si>
  <si>
    <t>PARTNER_STATE</t>
  </si>
  <si>
    <t>PARTNER_ZIPCODE</t>
  </si>
  <si>
    <t>PARTNER_COUNTRY</t>
  </si>
  <si>
    <t>RO_FIRST_NAME</t>
  </si>
  <si>
    <t>RO_LAST_NAME</t>
  </si>
  <si>
    <t>RO_EMAIL</t>
  </si>
  <si>
    <t>CURRENT_STATUS</t>
  </si>
  <si>
    <t>NEXT_ACTION</t>
  </si>
  <si>
    <t>ANNUAL_REVENUE</t>
  </si>
  <si>
    <t>EMPLOYEE_COUNT</t>
  </si>
  <si>
    <t>LAST_CONTACT</t>
  </si>
  <si>
    <t>LAST_CONTACT_DATE</t>
  </si>
  <si>
    <t>PREVIOUS_CONTACT</t>
  </si>
  <si>
    <t>PREVIOUS_CONTACT_DATE</t>
  </si>
  <si>
    <t>NEXT_ACTION_DATE</t>
  </si>
  <si>
    <t>NOTES</t>
  </si>
  <si>
    <t>PARTNER_CONTACT_FAX</t>
  </si>
  <si>
    <t>PARTNER_ADDRESS_TWO</t>
  </si>
  <si>
    <t>AMMT GMBH</t>
  </si>
  <si>
    <t>camber.com</t>
  </si>
  <si>
    <t>John</t>
  </si>
  <si>
    <t>Betancourt</t>
  </si>
  <si>
    <t>Point of contact</t>
  </si>
  <si>
    <t>860 75581735694</t>
  </si>
  <si>
    <t>john@intelleges.com</t>
  </si>
  <si>
    <t>(PLD)THE 21ST BUILDING,BEI FANG YON HEYI VIHAJING TOWN,BAO AN D</t>
  </si>
  <si>
    <t>SHENZHEN12</t>
  </si>
  <si>
    <t>NY</t>
  </si>
  <si>
    <t>5181041</t>
  </si>
  <si>
    <t>CHINA</t>
  </si>
  <si>
    <t>Kyle</t>
  </si>
  <si>
    <t>Kononowitz</t>
  </si>
  <si>
    <t>kyle.kononowitz@intelleges.com</t>
  </si>
  <si>
    <t>zDefault</t>
  </si>
  <si>
    <t>Call</t>
  </si>
  <si>
    <t>Successful Call - Call Back</t>
  </si>
  <si>
    <t>3/17/2015 1:56:26 PM</t>
  </si>
  <si>
    <t>None</t>
  </si>
  <si>
    <t>1/1/2015 1:56:26 PM</t>
  </si>
  <si>
    <t>3/20/2015 12:00:00 PM</t>
  </si>
  <si>
    <t>N</t>
  </si>
  <si>
    <t xml:space="preserve"> (256) 922-3574</t>
  </si>
  <si>
    <t>NONE</t>
  </si>
  <si>
    <t>Camber Corporation</t>
  </si>
  <si>
    <t>alto-us.com</t>
  </si>
  <si>
    <t>Lisa</t>
  </si>
  <si>
    <t>Hubbard</t>
  </si>
  <si>
    <t>Senior Contracts Administrator</t>
  </si>
  <si>
    <t>(256) 922-3697</t>
  </si>
  <si>
    <t>vendorinfo@camber.com</t>
  </si>
  <si>
    <t>635 Discovery Drive</t>
  </si>
  <si>
    <t>Huntsville</t>
  </si>
  <si>
    <t>AL</t>
  </si>
  <si>
    <t>UNITED STATES</t>
  </si>
  <si>
    <t xml:space="preserve"> (501) 756-0719</t>
  </si>
  <si>
    <t>ALTO U.S., Inc.</t>
  </si>
  <si>
    <t>riceland.com</t>
  </si>
  <si>
    <t>Iretha</t>
  </si>
  <si>
    <t>Edwards</t>
  </si>
  <si>
    <t>SBLO</t>
  </si>
  <si>
    <t>(501) 750-1000</t>
  </si>
  <si>
    <t>iretha.edwards@alto-us.com</t>
  </si>
  <si>
    <t>2100 Highway 265</t>
  </si>
  <si>
    <t>Springdale</t>
  </si>
  <si>
    <t>AR</t>
  </si>
  <si>
    <t xml:space="preserve"> (870) 673-5792</t>
  </si>
  <si>
    <t>Riceland Foods</t>
  </si>
  <si>
    <t>atitools.com</t>
  </si>
  <si>
    <t>James</t>
  </si>
  <si>
    <t>Borchert</t>
  </si>
  <si>
    <t>Purchasing Manager</t>
  </si>
  <si>
    <t>(870) 673-5500</t>
  </si>
  <si>
    <t>jborchert@riceland.com</t>
  </si>
  <si>
    <t>P. O. Box 927</t>
  </si>
  <si>
    <t>Stuttgart</t>
  </si>
  <si>
    <t xml:space="preserve"> (760) 738-1889</t>
  </si>
  <si>
    <t>ATI Tools</t>
  </si>
  <si>
    <t>amgen.com</t>
  </si>
  <si>
    <t>Tom</t>
  </si>
  <si>
    <t>Turk</t>
  </si>
  <si>
    <t>Small Business Liaison Officer</t>
  </si>
  <si>
    <t>(760) 746-8301</t>
  </si>
  <si>
    <t>tom@atitools.com</t>
  </si>
  <si>
    <t>2425 West Vinyard Ave.</t>
  </si>
  <si>
    <t>Escondido</t>
  </si>
  <si>
    <t>CA</t>
  </si>
  <si>
    <t xml:space="preserve"> (805) 376-2305</t>
  </si>
  <si>
    <t>Amgen Inc.</t>
  </si>
  <si>
    <t>bentleyprincestreet.com</t>
  </si>
  <si>
    <t>Wendy</t>
  </si>
  <si>
    <t>Matheu</t>
  </si>
  <si>
    <t>(805) 313-1399</t>
  </si>
  <si>
    <t>wmatheu@amgen.com</t>
  </si>
  <si>
    <t>1840 De Havilland Dr</t>
  </si>
  <si>
    <t>Thousand Oaks</t>
  </si>
  <si>
    <t xml:space="preserve"> (626) 369-2315</t>
  </si>
  <si>
    <t>Bentley Mills Inc.</t>
  </si>
  <si>
    <t>brutoco.net</t>
  </si>
  <si>
    <t>Judy</t>
  </si>
  <si>
    <t>Pike</t>
  </si>
  <si>
    <t>Small Business Liasion Officer</t>
  </si>
  <si>
    <t>(626) 333-4585</t>
  </si>
  <si>
    <t>judy.pike@bentleyprincestreet.com</t>
  </si>
  <si>
    <t>P.O. Box 527</t>
  </si>
  <si>
    <t>LaPuente</t>
  </si>
  <si>
    <t xml:space="preserve"> (909) 350-9049</t>
  </si>
  <si>
    <t>Brutoco Engineering &amp; Construction, Inc.</t>
  </si>
  <si>
    <t>cewylie.com</t>
  </si>
  <si>
    <t>Sharlyn</t>
  </si>
  <si>
    <t>Walker</t>
  </si>
  <si>
    <t>EEO/DBE Officer</t>
  </si>
  <si>
    <t>(909) 350-3535</t>
  </si>
  <si>
    <t>walkers@brutoco.net</t>
  </si>
  <si>
    <t>P.O. Box 429</t>
  </si>
  <si>
    <t>Fontana</t>
  </si>
  <si>
    <t xml:space="preserve"> (858) 571-4926</t>
  </si>
  <si>
    <t>C.E. Wylie Construction Company</t>
  </si>
  <si>
    <t>Roberts</t>
  </si>
  <si>
    <t>Secretary</t>
  </si>
  <si>
    <t>(858) 571-4911</t>
  </si>
  <si>
    <t>jroberts@cewylie.com</t>
  </si>
  <si>
    <t>3777 Ruffin Road</t>
  </si>
  <si>
    <t>San Deigo</t>
  </si>
  <si>
    <t>Campbell Industries</t>
  </si>
  <si>
    <t>del-jen.com</t>
  </si>
  <si>
    <t>Robert</t>
  </si>
  <si>
    <t>Maske</t>
  </si>
  <si>
    <t>(619) 233-7115</t>
  </si>
  <si>
    <t>P. O. Box 1870</t>
  </si>
  <si>
    <t>San Diego</t>
  </si>
  <si>
    <t xml:space="preserve"> (310) 541-5630</t>
  </si>
  <si>
    <t>DEL-JEN Inc.</t>
  </si>
  <si>
    <t>gene.com</t>
  </si>
  <si>
    <t>Linda</t>
  </si>
  <si>
    <t>Lockwood</t>
  </si>
  <si>
    <t>Director, Small Business/SBLO</t>
  </si>
  <si>
    <t>(360) 675-1977</t>
  </si>
  <si>
    <t>llockwood@del-jen.com</t>
  </si>
  <si>
    <t>28441 Highbridge Road</t>
  </si>
  <si>
    <t>Rolling Hills Estates</t>
  </si>
  <si>
    <t xml:space="preserve"> (800) 229-4010</t>
  </si>
  <si>
    <t>Genentech, Inc.</t>
  </si>
  <si>
    <t>healthnet.com</t>
  </si>
  <si>
    <t>Thattacherry</t>
  </si>
  <si>
    <t>Manager, Supplier Diversity Program</t>
  </si>
  <si>
    <t>(650) 225-4401</t>
  </si>
  <si>
    <t>thattact@gene.com</t>
  </si>
  <si>
    <t>1 DNA Way</t>
  </si>
  <si>
    <t>South San Francisco</t>
  </si>
  <si>
    <t xml:space="preserve"> (916) 351-5295</t>
  </si>
  <si>
    <t>Health Net Federal Services, Inc.</t>
  </si>
  <si>
    <t>hydroaire.com</t>
  </si>
  <si>
    <t>Donna</t>
  </si>
  <si>
    <t>Clausen</t>
  </si>
  <si>
    <t>SBLO/Contract Negotiator</t>
  </si>
  <si>
    <t>(916) 351-5282</t>
  </si>
  <si>
    <t>donna.clausen@healthnet.com</t>
  </si>
  <si>
    <t>2025 Aerojet Road</t>
  </si>
  <si>
    <t>Rancho Cordova</t>
  </si>
  <si>
    <t xml:space="preserve"> (818) 972-2361</t>
  </si>
  <si>
    <t>Hydro-Aire, Inc.</t>
  </si>
  <si>
    <t>Ed</t>
  </si>
  <si>
    <t>Hunn</t>
  </si>
  <si>
    <t>Purchasing Supervisor</t>
  </si>
  <si>
    <t>(818) 842-6121</t>
  </si>
  <si>
    <t>hunne@hydroaire.com</t>
  </si>
  <si>
    <t>3000 Winona Street, P.O. Box 7722</t>
  </si>
  <si>
    <t>Burbank</t>
  </si>
  <si>
    <t xml:space="preserve"> (925) 946-3292</t>
  </si>
  <si>
    <t>Innovative Technical Solutions, Inc.</t>
  </si>
  <si>
    <t>jacobs.com</t>
  </si>
  <si>
    <t>Debra</t>
  </si>
  <si>
    <t>Larsen</t>
  </si>
  <si>
    <t>Procurement Manager</t>
  </si>
  <si>
    <t>(925) 946-3140</t>
  </si>
  <si>
    <t>blarsen@leftco.com</t>
  </si>
  <si>
    <t>2730 Shadelands Drive</t>
  </si>
  <si>
    <t>Walnut Creek</t>
  </si>
  <si>
    <t xml:space="preserve"> (865) 220-6044</t>
  </si>
  <si>
    <t>Jacobs Engineering Group Inc.</t>
  </si>
  <si>
    <t>Darryl</t>
  </si>
  <si>
    <t>Wachob</t>
  </si>
  <si>
    <t>Corporate SBLO</t>
  </si>
  <si>
    <t>(865) 220-4679</t>
  </si>
  <si>
    <t>darryl.wachob@jacobs.com</t>
  </si>
  <si>
    <t>1111 S Arroyo Parkway</t>
  </si>
  <si>
    <t>Pasadena</t>
  </si>
  <si>
    <t xml:space="preserve"> (951) 940-0427</t>
  </si>
  <si>
    <t>ModTech Holdings, Inc.</t>
  </si>
  <si>
    <t>starfall.com</t>
  </si>
  <si>
    <t>Brothers</t>
  </si>
  <si>
    <t>Project Manager</t>
  </si>
  <si>
    <t>(951) 943-4014</t>
  </si>
  <si>
    <t>brothers@jlock.com</t>
  </si>
  <si>
    <t>2830 Barrett Avenue</t>
  </si>
  <si>
    <t>Perris</t>
  </si>
  <si>
    <t>National Steel &amp; Shipbuilding Co.</t>
  </si>
  <si>
    <t>NovaGroup.BIZ</t>
  </si>
  <si>
    <t>L.</t>
  </si>
  <si>
    <t>Bennett</t>
  </si>
  <si>
    <t>Puchasing Manager</t>
  </si>
  <si>
    <t>(619) 544-8647</t>
  </si>
  <si>
    <t>LBennett@starfall.com</t>
  </si>
  <si>
    <t>2798 E. Harbor Drive</t>
  </si>
  <si>
    <t xml:space="preserve"> (707) 257-2774</t>
  </si>
  <si>
    <t>Nova Group, Inc.</t>
  </si>
  <si>
    <t>Carole</t>
  </si>
  <si>
    <t>Bionda</t>
  </si>
  <si>
    <t>Vice President/Corporate Counsel</t>
  </si>
  <si>
    <t>(707) 257-3200</t>
  </si>
  <si>
    <t>SBLO@NovaGroup.BIZ</t>
  </si>
  <si>
    <t>7411 Napa-Vallejo Highway</t>
  </si>
  <si>
    <t>Napa</t>
  </si>
  <si>
    <t xml:space="preserve"> (619) 458-0943</t>
  </si>
  <si>
    <t>Ogden Environmental &amp; Energy Services</t>
  </si>
  <si>
    <t>pacbell.net</t>
  </si>
  <si>
    <t>Gilbert</t>
  </si>
  <si>
    <t>Olivas</t>
  </si>
  <si>
    <t>(619) 458-9044</t>
  </si>
  <si>
    <t>GOLiv@bizmart.com</t>
  </si>
  <si>
    <t>5510 Morehouse Drive</t>
  </si>
  <si>
    <t>Pacific Place Associates</t>
  </si>
  <si>
    <t>Erik</t>
  </si>
  <si>
    <t>Van't Hof</t>
  </si>
  <si>
    <t>(310) 514-2400</t>
  </si>
  <si>
    <t>pacplace@pacbell.net</t>
  </si>
  <si>
    <t>222 West 6th Street</t>
  </si>
  <si>
    <t>San Pedro</t>
  </si>
  <si>
    <t>Pacific Pride Baking Company</t>
  </si>
  <si>
    <t>parker.com</t>
  </si>
  <si>
    <t>Nina</t>
  </si>
  <si>
    <t>Gruhler</t>
  </si>
  <si>
    <t>(310) 563-7824</t>
  </si>
  <si>
    <t>NGlover@blubac.com</t>
  </si>
  <si>
    <t>2069 Aldergrove Avenue</t>
  </si>
  <si>
    <t xml:space="preserve"> (949) 263-9028</t>
  </si>
  <si>
    <t>Parker Hannifin Corporation</t>
  </si>
  <si>
    <t>parsons.com</t>
  </si>
  <si>
    <t>Nancy</t>
  </si>
  <si>
    <t>Zonaga</t>
  </si>
  <si>
    <t>(949) 660-8385</t>
  </si>
  <si>
    <t>nzonaga@parker.com</t>
  </si>
  <si>
    <t>14300 Alton Parkway</t>
  </si>
  <si>
    <t>Irvine</t>
  </si>
  <si>
    <t xml:space="preserve"> (626) 440-6177</t>
  </si>
  <si>
    <t>Parsons Infrastructure &amp; Technology Grp.</t>
  </si>
  <si>
    <t>senioraerospace.com</t>
  </si>
  <si>
    <t>Regina</t>
  </si>
  <si>
    <t>Glover</t>
  </si>
  <si>
    <t>Sr. Subcontracts Administrator/SBLO</t>
  </si>
  <si>
    <t>(626) 440-3635</t>
  </si>
  <si>
    <t>regina.glover@parsons.com</t>
  </si>
  <si>
    <t>100 West Walnut Street</t>
  </si>
  <si>
    <t xml:space="preserve"> (818) 562-5224</t>
  </si>
  <si>
    <t>Senior Aerospace</t>
  </si>
  <si>
    <t>tecom-ind.com</t>
  </si>
  <si>
    <t>Ferris</t>
  </si>
  <si>
    <t>Hariri</t>
  </si>
  <si>
    <t>(818) 260-2925</t>
  </si>
  <si>
    <t>fhariri@senioraerospace.com</t>
  </si>
  <si>
    <t>2980 North San Fernando Blvd.</t>
  </si>
  <si>
    <t xml:space="preserve"> (805) 267-0190</t>
  </si>
  <si>
    <t>Tecom Industries, Inc.</t>
  </si>
  <si>
    <t>Gina</t>
  </si>
  <si>
    <t>Gastelum</t>
  </si>
  <si>
    <t>(805) 267-0100</t>
  </si>
  <si>
    <t>ggastelum@tecom-ind.com</t>
  </si>
  <si>
    <t>375 Conejo Ridge Ave.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</si>
</sst>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name val="Arial"/>
    </font>
    <font>
      <b/>
      <sz val="11.0"/>
      <color rgb="FFFFFFFF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EEBF6"/>
        <bgColor rgb="FFDEEBF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borderId="0" fillId="0" fontId="0" numFmtId="0"/>
  </cellStyleXfs>
  <cellXfs count="12">
    <xf borderId="0" fillId="0" fontId="0" numFmtId="0"/>
    <xf borderId="1" fillId="2" fontId="1" numFmtId="0" xfId="0" applyFill="1" applyFont="1"/>
    <xf borderId="1" fillId="3" fontId="2" numFmtId="49" xfId="0" applyFill="1" applyFont="1" applyNumberFormat="1"/>
    <xf borderId="1" fillId="3" fontId="3" numFmtId="49" xfId="0" applyAlignment="1" applyFont="1" applyNumberFormat="1">
      <alignment/>
    </xf>
    <xf borderId="1" fillId="4" fontId="2" numFmtId="49" xfId="0" applyAlignment="1" applyFill="1" applyFont="1" applyNumberFormat="1">
      <alignment/>
    </xf>
    <xf borderId="1" fillId="4" fontId="2" numFmtId="49" xfId="0" applyAlignment="1" applyFont="1" applyNumberFormat="1">
      <alignment horizontal="right"/>
    </xf>
    <xf borderId="1" fillId="3" fontId="2" numFmtId="49" xfId="0" applyAlignment="1" applyFont="1" applyNumberFormat="1">
      <alignment/>
    </xf>
    <xf borderId="1" fillId="4" fontId="4" numFmtId="49" xfId="0" applyAlignment="1" applyFont="1" applyNumberFormat="1">
      <alignment/>
    </xf>
    <xf borderId="1" fillId="4" fontId="2" numFmtId="49" xfId="0" applyFont="1" applyNumberFormat="1"/>
    <xf borderId="1" fillId="3" fontId="2" numFmtId="0" xfId="0" applyFont="1"/>
    <xf borderId="1" fillId="4" fontId="2" numFmtId="0" xfId="0" applyFont="1"/>
    <xf borderId="1" fillId="4" fontId="2" numFmtId="49" xfId="0" applyAlignment="1" applyFont="1" applyNumberFormat="1">
      <alignment wrapText="1"/>
    </xf>
  </cellXfs>
  <cellStyles count="1">
    <cellStyle xfId="0" name="Normal" builtinId="0"/>
  </cellStyles>
  <dxfs count="0"/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haredStrings" Target="sharedStrings.xml"/><Relationship Id="rId1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9" Type="http://schemas.openxmlformats.org/officeDocument/2006/relationships/hyperlink" Target="http://senioraerospace.com" TargetMode="External"/><Relationship Id="rId18" Type="http://schemas.openxmlformats.org/officeDocument/2006/relationships/hyperlink" Target="http://parsons.com" TargetMode="External"/><Relationship Id="rId17" Type="http://schemas.openxmlformats.org/officeDocument/2006/relationships/hyperlink" Target="http://parker.com" TargetMode="External"/><Relationship Id="rId16" Type="http://schemas.openxmlformats.org/officeDocument/2006/relationships/hyperlink" Target="http://pacbell.net" TargetMode="External"/><Relationship Id="rId15" Type="http://schemas.openxmlformats.org/officeDocument/2006/relationships/hyperlink" Target="http://NovaGroup.BIZ" TargetMode="External"/><Relationship Id="rId14" Type="http://schemas.openxmlformats.org/officeDocument/2006/relationships/hyperlink" Target="http://starfall.com" TargetMode="External"/><Relationship Id="rId21" Type="http://schemas.openxmlformats.org/officeDocument/2006/relationships/drawing" Target="../drawings/worksheetdrawing1.xml"/><Relationship Id="rId2" Type="http://schemas.openxmlformats.org/officeDocument/2006/relationships/hyperlink" Target="http://alto-us.com" TargetMode="External"/><Relationship Id="rId12" Type="http://schemas.openxmlformats.org/officeDocument/2006/relationships/hyperlink" Target="http://hydroaire.com" TargetMode="External"/><Relationship Id="rId13" Type="http://schemas.openxmlformats.org/officeDocument/2006/relationships/hyperlink" Target="http://jacobs.com" TargetMode="External"/><Relationship Id="rId1" Type="http://schemas.openxmlformats.org/officeDocument/2006/relationships/hyperlink" Target="http://camber.com" TargetMode="External"/><Relationship Id="rId4" Type="http://schemas.openxmlformats.org/officeDocument/2006/relationships/hyperlink" Target="http://atitools.com" TargetMode="External"/><Relationship Id="rId10" Type="http://schemas.openxmlformats.org/officeDocument/2006/relationships/hyperlink" Target="http://gene.com" TargetMode="External"/><Relationship Id="rId3" Type="http://schemas.openxmlformats.org/officeDocument/2006/relationships/hyperlink" Target="http://riceland.com" TargetMode="External"/><Relationship Id="rId11" Type="http://schemas.openxmlformats.org/officeDocument/2006/relationships/hyperlink" Target="http://healthnet.com" TargetMode="External"/><Relationship Id="rId20" Type="http://schemas.openxmlformats.org/officeDocument/2006/relationships/hyperlink" Target="http://tecom-ind.com" TargetMode="External"/><Relationship Id="rId9" Type="http://schemas.openxmlformats.org/officeDocument/2006/relationships/hyperlink" Target="http://del-jen.com" TargetMode="External"/><Relationship Id="rId6" Type="http://schemas.openxmlformats.org/officeDocument/2006/relationships/hyperlink" Target="http://bentleyprincestreet.com" TargetMode="External"/><Relationship Id="rId5" Type="http://schemas.openxmlformats.org/officeDocument/2006/relationships/hyperlink" Target="http://amgen.com" TargetMode="External"/><Relationship Id="rId8" Type="http://schemas.openxmlformats.org/officeDocument/2006/relationships/hyperlink" Target="http://cewylie.com" TargetMode="External"/><Relationship Id="rId7" Type="http://schemas.openxmlformats.org/officeDocument/2006/relationships/hyperlink" Target="http://brutoco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ax="1" min="1" width="24.43"/>
    <col customWidth="1" max="2" min="2" width="78.57"/>
    <col customWidth="1" max="3" min="3" width="19.71"/>
    <col customWidth="1" max="4" min="4" width="20.29"/>
    <col customWidth="1" max="5" min="5" width="29.0"/>
    <col customWidth="1" max="6" min="6" width="28.43"/>
    <col customWidth="1" max="7" min="7" width="41.29"/>
    <col customWidth="1" max="8" min="8" width="28.86"/>
    <col customWidth="1" max="9" min="9" width="32.43"/>
    <col customWidth="1" max="10" min="10" width="70.57"/>
    <col customWidth="1" max="11" min="11" width="55.71"/>
    <col customWidth="1" max="12" min="12" width="14.86"/>
    <col customWidth="1" max="13" min="13" width="17.0"/>
    <col customWidth="1" max="14" min="14" width="22.43"/>
    <col customWidth="1" max="15" min="15" width="18.29"/>
    <col customWidth="1" max="16" min="16" width="17.71"/>
    <col customWidth="1" max="17" min="17" width="32.43"/>
    <col customWidth="1" max="18" min="18" width="24.14"/>
    <col customWidth="1" max="19" min="19" width="16.29"/>
    <col customWidth="1" max="20" min="20" width="20.57"/>
    <col customWidth="1" max="21" min="21" width="20.43"/>
    <col customWidth="1" max="22" min="22" width="27.86"/>
    <col customWidth="1" max="23" min="23" width="22.71"/>
    <col customWidth="1" max="25" min="24" width="27.86"/>
    <col customWidth="1" max="26" min="26" width="21.57"/>
    <col customWidth="1" max="27" min="27" width="9.14"/>
    <col customWidth="1" max="28" min="28" width="34.0"/>
    <col customWidth="1" max="29" min="29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tr">
        <f t="shared" ref="A2:A27" si="1">H2</f>
        <v>860 75581735694</v>
      </c>
      <c r="B2" s="2" t="s">
        <v>29</v>
      </c>
      <c r="C2" s="3" t="s">
        <v>30</v>
      </c>
      <c r="D2" s="2" t="str">
        <f t="shared" ref="D2:D27" si="2">A2</f>
        <v>860 75581735694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4" t="s">
        <v>37</v>
      </c>
      <c r="L2" s="4" t="s">
        <v>38</v>
      </c>
      <c r="M2" s="5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4" t="s">
        <v>44</v>
      </c>
      <c r="S2" s="4" t="s">
        <v>45</v>
      </c>
      <c r="T2" s="4">
        <v>1000000.0</v>
      </c>
      <c r="U2" s="4">
        <v>10.0</v>
      </c>
      <c r="V2" s="4" t="s">
        <v>46</v>
      </c>
      <c r="W2" s="4" t="s">
        <v>47</v>
      </c>
      <c r="X2" s="4" t="s">
        <v>48</v>
      </c>
      <c r="Y2" s="4" t="s">
        <v>49</v>
      </c>
      <c r="Z2" s="6" t="s">
        <v>50</v>
      </c>
      <c r="AA2" s="2" t="s">
        <v>51</v>
      </c>
      <c r="AB2" s="6" t="s">
        <v>52</v>
      </c>
      <c r="AC2" s="6" t="s">
        <v>53</v>
      </c>
    </row>
    <row r="3">
      <c r="A3" s="2" t="str">
        <f t="shared" si="1"/>
        <v>(256) 922-3697</v>
      </c>
      <c r="B3" s="6" t="s">
        <v>54</v>
      </c>
      <c r="C3" s="3" t="s">
        <v>55</v>
      </c>
      <c r="D3" s="6" t="str">
        <f t="shared" si="2"/>
        <v>(256) 922-3697</v>
      </c>
      <c r="E3" s="2" t="s">
        <v>56</v>
      </c>
      <c r="F3" s="2" t="s">
        <v>57</v>
      </c>
      <c r="G3" s="6" t="s">
        <v>58</v>
      </c>
      <c r="H3" s="6" t="s">
        <v>59</v>
      </c>
      <c r="I3" s="6" t="s">
        <v>60</v>
      </c>
      <c r="J3" s="6" t="s">
        <v>61</v>
      </c>
      <c r="K3" s="4" t="s">
        <v>62</v>
      </c>
      <c r="L3" s="4" t="s">
        <v>63</v>
      </c>
      <c r="M3" s="4">
        <v>35806.0</v>
      </c>
      <c r="N3" s="4" t="s">
        <v>64</v>
      </c>
      <c r="O3" s="4" t="s">
        <v>41</v>
      </c>
      <c r="P3" s="4" t="s">
        <v>42</v>
      </c>
      <c r="Q3" s="4" t="s">
        <v>43</v>
      </c>
      <c r="R3" s="4" t="s">
        <v>44</v>
      </c>
      <c r="S3" s="4" t="s">
        <v>45</v>
      </c>
      <c r="T3" s="4">
        <v>1000000.0</v>
      </c>
      <c r="U3" s="4">
        <v>10.0</v>
      </c>
      <c r="V3" s="4" t="s">
        <v>46</v>
      </c>
      <c r="W3" s="4" t="s">
        <v>47</v>
      </c>
      <c r="X3" s="4" t="s">
        <v>48</v>
      </c>
      <c r="Y3" s="4" t="s">
        <v>49</v>
      </c>
      <c r="Z3" s="6" t="s">
        <v>50</v>
      </c>
      <c r="AA3" s="2" t="s">
        <v>51</v>
      </c>
      <c r="AB3" s="6" t="s">
        <v>65</v>
      </c>
      <c r="AC3" s="6" t="s">
        <v>53</v>
      </c>
    </row>
    <row r="4">
      <c r="A4" s="2" t="str">
        <f t="shared" si="1"/>
        <v>(501) 750-1000</v>
      </c>
      <c r="B4" s="4" t="s">
        <v>66</v>
      </c>
      <c r="C4" s="7" t="s">
        <v>67</v>
      </c>
      <c r="D4" s="6" t="str">
        <f t="shared" si="2"/>
        <v>(501) 750-1000</v>
      </c>
      <c r="E4" s="2" t="s">
        <v>68</v>
      </c>
      <c r="F4" s="2" t="s">
        <v>69</v>
      </c>
      <c r="G4" s="4" t="s">
        <v>70</v>
      </c>
      <c r="H4" s="4" t="s">
        <v>71</v>
      </c>
      <c r="I4" s="4" t="s">
        <v>72</v>
      </c>
      <c r="J4" s="4" t="s">
        <v>73</v>
      </c>
      <c r="K4" s="4" t="s">
        <v>74</v>
      </c>
      <c r="L4" s="4" t="s">
        <v>75</v>
      </c>
      <c r="M4" s="4">
        <v>72764.0</v>
      </c>
      <c r="N4" s="4" t="s">
        <v>64</v>
      </c>
      <c r="O4" s="4" t="s">
        <v>41</v>
      </c>
      <c r="P4" s="4" t="s">
        <v>42</v>
      </c>
      <c r="Q4" s="4" t="s">
        <v>43</v>
      </c>
      <c r="R4" s="4" t="s">
        <v>44</v>
      </c>
      <c r="S4" s="4" t="s">
        <v>45</v>
      </c>
      <c r="T4" s="4">
        <v>1000000.0</v>
      </c>
      <c r="U4" s="4">
        <v>10.0</v>
      </c>
      <c r="V4" s="4" t="s">
        <v>46</v>
      </c>
      <c r="W4" s="4" t="s">
        <v>47</v>
      </c>
      <c r="X4" s="4" t="s">
        <v>48</v>
      </c>
      <c r="Y4" s="4" t="s">
        <v>49</v>
      </c>
      <c r="Z4" s="6" t="s">
        <v>50</v>
      </c>
      <c r="AA4" s="2" t="s">
        <v>51</v>
      </c>
      <c r="AB4" s="4" t="s">
        <v>76</v>
      </c>
      <c r="AC4" s="6" t="s">
        <v>53</v>
      </c>
    </row>
    <row r="5">
      <c r="A5" s="2" t="str">
        <f t="shared" si="1"/>
        <v>(870) 673-5500</v>
      </c>
      <c r="B5" s="6" t="s">
        <v>77</v>
      </c>
      <c r="C5" s="3" t="s">
        <v>78</v>
      </c>
      <c r="D5" s="6" t="str">
        <f t="shared" si="2"/>
        <v>(870) 673-5500</v>
      </c>
      <c r="E5" s="2" t="s">
        <v>79</v>
      </c>
      <c r="F5" s="2" t="s">
        <v>80</v>
      </c>
      <c r="G5" s="6" t="s">
        <v>81</v>
      </c>
      <c r="H5" s="6" t="s">
        <v>82</v>
      </c>
      <c r="I5" s="6" t="s">
        <v>83</v>
      </c>
      <c r="J5" s="6" t="s">
        <v>84</v>
      </c>
      <c r="K5" s="4" t="s">
        <v>85</v>
      </c>
      <c r="L5" s="4" t="s">
        <v>75</v>
      </c>
      <c r="M5" s="4">
        <v>72160.0</v>
      </c>
      <c r="N5" s="4" t="s">
        <v>64</v>
      </c>
      <c r="O5" s="4" t="s">
        <v>41</v>
      </c>
      <c r="P5" s="4" t="s">
        <v>42</v>
      </c>
      <c r="Q5" s="4" t="s">
        <v>43</v>
      </c>
      <c r="R5" s="4" t="s">
        <v>44</v>
      </c>
      <c r="S5" s="4" t="s">
        <v>45</v>
      </c>
      <c r="T5" s="4">
        <v>1000000.0</v>
      </c>
      <c r="U5" s="4">
        <v>10.0</v>
      </c>
      <c r="V5" s="4" t="s">
        <v>46</v>
      </c>
      <c r="W5" s="4" t="s">
        <v>47</v>
      </c>
      <c r="X5" s="4" t="s">
        <v>48</v>
      </c>
      <c r="Y5" s="4" t="s">
        <v>49</v>
      </c>
      <c r="Z5" s="6" t="s">
        <v>50</v>
      </c>
      <c r="AA5" s="2" t="s">
        <v>51</v>
      </c>
      <c r="AB5" s="6" t="s">
        <v>86</v>
      </c>
      <c r="AC5" s="6" t="s">
        <v>53</v>
      </c>
    </row>
    <row r="6">
      <c r="A6" s="2" t="str">
        <f t="shared" si="1"/>
        <v>(760) 746-8301</v>
      </c>
      <c r="B6" s="4" t="s">
        <v>87</v>
      </c>
      <c r="C6" s="7" t="s">
        <v>88</v>
      </c>
      <c r="D6" s="6" t="str">
        <f t="shared" si="2"/>
        <v>(760) 746-8301</v>
      </c>
      <c r="E6" s="2" t="s">
        <v>89</v>
      </c>
      <c r="F6" s="2" t="s">
        <v>90</v>
      </c>
      <c r="G6" s="4" t="s">
        <v>91</v>
      </c>
      <c r="H6" s="4" t="s">
        <v>92</v>
      </c>
      <c r="I6" s="4" t="s">
        <v>93</v>
      </c>
      <c r="J6" s="4" t="s">
        <v>94</v>
      </c>
      <c r="K6" s="4" t="s">
        <v>95</v>
      </c>
      <c r="L6" s="4" t="s">
        <v>96</v>
      </c>
      <c r="M6" s="4">
        <v>92029.0</v>
      </c>
      <c r="N6" s="4" t="s">
        <v>64</v>
      </c>
      <c r="O6" s="4" t="s">
        <v>41</v>
      </c>
      <c r="P6" s="4" t="s">
        <v>42</v>
      </c>
      <c r="Q6" s="4" t="s">
        <v>43</v>
      </c>
      <c r="R6" s="4" t="s">
        <v>44</v>
      </c>
      <c r="S6" s="4" t="s">
        <v>45</v>
      </c>
      <c r="T6" s="4">
        <v>1000000.0</v>
      </c>
      <c r="U6" s="4">
        <v>10.0</v>
      </c>
      <c r="V6" s="4" t="s">
        <v>46</v>
      </c>
      <c r="W6" s="4" t="s">
        <v>47</v>
      </c>
      <c r="X6" s="4" t="s">
        <v>48</v>
      </c>
      <c r="Y6" s="4" t="s">
        <v>49</v>
      </c>
      <c r="Z6" s="6" t="s">
        <v>50</v>
      </c>
      <c r="AA6" s="2" t="s">
        <v>51</v>
      </c>
      <c r="AB6" s="4" t="s">
        <v>97</v>
      </c>
      <c r="AC6" s="6" t="s">
        <v>53</v>
      </c>
    </row>
    <row r="7">
      <c r="A7" s="2" t="str">
        <f t="shared" si="1"/>
        <v>(805) 313-1399</v>
      </c>
      <c r="B7" s="6" t="s">
        <v>98</v>
      </c>
      <c r="C7" s="3" t="s">
        <v>99</v>
      </c>
      <c r="D7" s="6" t="str">
        <f t="shared" si="2"/>
        <v>(805) 313-1399</v>
      </c>
      <c r="E7" s="2" t="s">
        <v>100</v>
      </c>
      <c r="F7" s="2" t="s">
        <v>101</v>
      </c>
      <c r="G7" s="6" t="s">
        <v>91</v>
      </c>
      <c r="H7" s="6" t="s">
        <v>102</v>
      </c>
      <c r="I7" s="6" t="s">
        <v>103</v>
      </c>
      <c r="J7" s="6" t="s">
        <v>104</v>
      </c>
      <c r="K7" s="4" t="s">
        <v>105</v>
      </c>
      <c r="L7" s="4" t="s">
        <v>96</v>
      </c>
      <c r="M7" s="4">
        <v>91320.0</v>
      </c>
      <c r="N7" s="4" t="s">
        <v>64</v>
      </c>
      <c r="O7" s="4" t="s">
        <v>41</v>
      </c>
      <c r="P7" s="4" t="s">
        <v>42</v>
      </c>
      <c r="Q7" s="4" t="s">
        <v>43</v>
      </c>
      <c r="R7" s="4" t="s">
        <v>44</v>
      </c>
      <c r="S7" s="4" t="s">
        <v>45</v>
      </c>
      <c r="T7" s="4">
        <v>1000000.0</v>
      </c>
      <c r="U7" s="4">
        <v>10.0</v>
      </c>
      <c r="V7" s="4" t="s">
        <v>46</v>
      </c>
      <c r="W7" s="4" t="s">
        <v>47</v>
      </c>
      <c r="X7" s="4" t="s">
        <v>48</v>
      </c>
      <c r="Y7" s="4" t="s">
        <v>49</v>
      </c>
      <c r="Z7" s="6" t="s">
        <v>50</v>
      </c>
      <c r="AA7" s="2" t="s">
        <v>51</v>
      </c>
      <c r="AB7" s="6" t="s">
        <v>106</v>
      </c>
      <c r="AC7" s="6" t="s">
        <v>53</v>
      </c>
    </row>
    <row r="8">
      <c r="A8" s="2" t="str">
        <f t="shared" si="1"/>
        <v>(626) 333-4585</v>
      </c>
      <c r="B8" s="4" t="s">
        <v>107</v>
      </c>
      <c r="C8" s="7" t="s">
        <v>108</v>
      </c>
      <c r="D8" s="6" t="str">
        <f t="shared" si="2"/>
        <v>(626) 333-4585</v>
      </c>
      <c r="E8" s="2" t="s">
        <v>109</v>
      </c>
      <c r="F8" s="2" t="s">
        <v>110</v>
      </c>
      <c r="G8" s="4" t="s">
        <v>111</v>
      </c>
      <c r="H8" s="4" t="s">
        <v>112</v>
      </c>
      <c r="I8" s="4" t="s">
        <v>113</v>
      </c>
      <c r="J8" s="4" t="s">
        <v>114</v>
      </c>
      <c r="K8" s="4" t="s">
        <v>115</v>
      </c>
      <c r="L8" s="4" t="s">
        <v>96</v>
      </c>
      <c r="M8" s="4">
        <v>91749.0</v>
      </c>
      <c r="N8" s="4" t="s">
        <v>64</v>
      </c>
      <c r="O8" s="4" t="s">
        <v>41</v>
      </c>
      <c r="P8" s="4" t="s">
        <v>42</v>
      </c>
      <c r="Q8" s="4" t="s">
        <v>43</v>
      </c>
      <c r="R8" s="4" t="s">
        <v>44</v>
      </c>
      <c r="S8" s="4" t="s">
        <v>45</v>
      </c>
      <c r="T8" s="4">
        <v>1000000.0</v>
      </c>
      <c r="U8" s="4">
        <v>10.0</v>
      </c>
      <c r="V8" s="4" t="s">
        <v>46</v>
      </c>
      <c r="W8" s="4" t="s">
        <v>47</v>
      </c>
      <c r="X8" s="4" t="s">
        <v>48</v>
      </c>
      <c r="Y8" s="4" t="s">
        <v>49</v>
      </c>
      <c r="Z8" s="6" t="s">
        <v>50</v>
      </c>
      <c r="AA8" s="2" t="s">
        <v>51</v>
      </c>
      <c r="AB8" s="4" t="s">
        <v>116</v>
      </c>
      <c r="AC8" s="6" t="s">
        <v>53</v>
      </c>
    </row>
    <row r="9">
      <c r="A9" s="2" t="str">
        <f t="shared" si="1"/>
        <v>(909) 350-3535</v>
      </c>
      <c r="B9" s="6" t="s">
        <v>117</v>
      </c>
      <c r="C9" s="3" t="s">
        <v>118</v>
      </c>
      <c r="D9" s="6" t="str">
        <f t="shared" si="2"/>
        <v>(909) 350-3535</v>
      </c>
      <c r="E9" s="2" t="s">
        <v>119</v>
      </c>
      <c r="F9" s="2" t="s">
        <v>120</v>
      </c>
      <c r="G9" s="6" t="s">
        <v>121</v>
      </c>
      <c r="H9" s="6" t="s">
        <v>122</v>
      </c>
      <c r="I9" s="6" t="s">
        <v>123</v>
      </c>
      <c r="J9" s="6" t="s">
        <v>124</v>
      </c>
      <c r="K9" s="4" t="s">
        <v>125</v>
      </c>
      <c r="L9" s="4" t="s">
        <v>96</v>
      </c>
      <c r="M9" s="4">
        <v>92334.0</v>
      </c>
      <c r="N9" s="4" t="s">
        <v>64</v>
      </c>
      <c r="O9" s="4" t="s">
        <v>41</v>
      </c>
      <c r="P9" s="4" t="s">
        <v>42</v>
      </c>
      <c r="Q9" s="4" t="s">
        <v>43</v>
      </c>
      <c r="R9" s="4" t="s">
        <v>44</v>
      </c>
      <c r="S9" s="4" t="s">
        <v>45</v>
      </c>
      <c r="T9" s="4">
        <v>1000000.0</v>
      </c>
      <c r="U9" s="4">
        <v>10.0</v>
      </c>
      <c r="V9" s="4" t="s">
        <v>46</v>
      </c>
      <c r="W9" s="4" t="s">
        <v>47</v>
      </c>
      <c r="X9" s="4" t="s">
        <v>48</v>
      </c>
      <c r="Y9" s="4" t="s">
        <v>49</v>
      </c>
      <c r="Z9" s="6" t="s">
        <v>50</v>
      </c>
      <c r="AA9" s="2" t="s">
        <v>51</v>
      </c>
      <c r="AB9" s="6" t="s">
        <v>126</v>
      </c>
      <c r="AC9" s="6" t="s">
        <v>53</v>
      </c>
    </row>
    <row r="10">
      <c r="A10" s="2" t="str">
        <f t="shared" si="1"/>
        <v>(858) 571-4911</v>
      </c>
      <c r="B10" s="4" t="s">
        <v>127</v>
      </c>
      <c r="C10" s="4"/>
      <c r="D10" s="6" t="str">
        <f t="shared" si="2"/>
        <v>(858) 571-4911</v>
      </c>
      <c r="E10" s="2" t="s">
        <v>109</v>
      </c>
      <c r="F10" s="2" t="s">
        <v>128</v>
      </c>
      <c r="G10" s="4" t="s">
        <v>129</v>
      </c>
      <c r="H10" s="4" t="s">
        <v>130</v>
      </c>
      <c r="I10" s="4" t="s">
        <v>131</v>
      </c>
      <c r="J10" s="4" t="s">
        <v>132</v>
      </c>
      <c r="K10" s="4" t="s">
        <v>133</v>
      </c>
      <c r="L10" s="4" t="s">
        <v>96</v>
      </c>
      <c r="M10" s="4">
        <v>92123.0</v>
      </c>
      <c r="N10" s="4" t="s">
        <v>64</v>
      </c>
      <c r="O10" s="4" t="s">
        <v>41</v>
      </c>
      <c r="P10" s="4" t="s">
        <v>42</v>
      </c>
      <c r="Q10" s="4" t="s">
        <v>43</v>
      </c>
      <c r="R10" s="4" t="s">
        <v>44</v>
      </c>
      <c r="S10" s="4" t="s">
        <v>45</v>
      </c>
      <c r="T10" s="4">
        <v>1000000.0</v>
      </c>
      <c r="U10" s="4">
        <v>10.0</v>
      </c>
      <c r="V10" s="4" t="s">
        <v>46</v>
      </c>
      <c r="W10" s="4" t="s">
        <v>47</v>
      </c>
      <c r="X10" s="4" t="s">
        <v>48</v>
      </c>
      <c r="Y10" s="4" t="s">
        <v>49</v>
      </c>
      <c r="Z10" s="6" t="s">
        <v>50</v>
      </c>
      <c r="AA10" s="2" t="s">
        <v>51</v>
      </c>
      <c r="AB10" s="8"/>
      <c r="AC10" s="6" t="s">
        <v>53</v>
      </c>
    </row>
    <row r="11">
      <c r="A11" s="2" t="str">
        <f t="shared" si="1"/>
        <v>(619) 233-7115</v>
      </c>
      <c r="B11" s="6" t="s">
        <v>134</v>
      </c>
      <c r="C11" s="3" t="s">
        <v>135</v>
      </c>
      <c r="D11" s="6" t="str">
        <f t="shared" si="2"/>
        <v>(619) 233-7115</v>
      </c>
      <c r="E11" s="2" t="s">
        <v>136</v>
      </c>
      <c r="F11" s="2" t="s">
        <v>137</v>
      </c>
      <c r="G11" s="6" t="s">
        <v>70</v>
      </c>
      <c r="H11" s="6" t="s">
        <v>138</v>
      </c>
      <c r="I11" s="2"/>
      <c r="J11" s="6" t="s">
        <v>139</v>
      </c>
      <c r="K11" s="4" t="s">
        <v>140</v>
      </c>
      <c r="L11" s="4" t="s">
        <v>96</v>
      </c>
      <c r="M11" s="4">
        <v>92121.0</v>
      </c>
      <c r="N11" s="4" t="s">
        <v>64</v>
      </c>
      <c r="O11" s="4" t="s">
        <v>41</v>
      </c>
      <c r="P11" s="4" t="s">
        <v>42</v>
      </c>
      <c r="Q11" s="4" t="s">
        <v>43</v>
      </c>
      <c r="R11" s="4" t="s">
        <v>44</v>
      </c>
      <c r="S11" s="4" t="s">
        <v>45</v>
      </c>
      <c r="T11" s="4">
        <v>1000000.0</v>
      </c>
      <c r="U11" s="4">
        <v>10.0</v>
      </c>
      <c r="V11" s="4" t="s">
        <v>46</v>
      </c>
      <c r="W11" s="4" t="s">
        <v>47</v>
      </c>
      <c r="X11" s="4" t="s">
        <v>48</v>
      </c>
      <c r="Y11" s="4" t="s">
        <v>49</v>
      </c>
      <c r="Z11" s="6" t="s">
        <v>50</v>
      </c>
      <c r="AA11" s="2" t="s">
        <v>51</v>
      </c>
      <c r="AB11" s="6" t="s">
        <v>141</v>
      </c>
      <c r="AC11" s="6" t="s">
        <v>53</v>
      </c>
    </row>
    <row r="12">
      <c r="A12" s="2" t="str">
        <f t="shared" si="1"/>
        <v>(360) 675-1977</v>
      </c>
      <c r="B12" s="4" t="s">
        <v>142</v>
      </c>
      <c r="C12" s="7" t="s">
        <v>143</v>
      </c>
      <c r="D12" s="6" t="str">
        <f t="shared" si="2"/>
        <v>(360) 675-1977</v>
      </c>
      <c r="E12" s="2" t="s">
        <v>144</v>
      </c>
      <c r="F12" s="2" t="s">
        <v>145</v>
      </c>
      <c r="G12" s="4" t="s">
        <v>146</v>
      </c>
      <c r="H12" s="4" t="s">
        <v>147</v>
      </c>
      <c r="I12" s="4" t="s">
        <v>148</v>
      </c>
      <c r="J12" s="4" t="s">
        <v>149</v>
      </c>
      <c r="K12" s="4" t="s">
        <v>150</v>
      </c>
      <c r="L12" s="4" t="s">
        <v>96</v>
      </c>
      <c r="M12" s="4">
        <v>92704.0</v>
      </c>
      <c r="N12" s="4" t="s">
        <v>64</v>
      </c>
      <c r="O12" s="4" t="s">
        <v>41</v>
      </c>
      <c r="P12" s="4" t="s">
        <v>42</v>
      </c>
      <c r="Q12" s="4" t="s">
        <v>43</v>
      </c>
      <c r="R12" s="4" t="s">
        <v>44</v>
      </c>
      <c r="S12" s="4" t="s">
        <v>45</v>
      </c>
      <c r="T12" s="4">
        <v>1000000.0</v>
      </c>
      <c r="U12" s="4">
        <v>10.0</v>
      </c>
      <c r="V12" s="4" t="s">
        <v>46</v>
      </c>
      <c r="W12" s="4" t="s">
        <v>47</v>
      </c>
      <c r="X12" s="4" t="s">
        <v>48</v>
      </c>
      <c r="Y12" s="4" t="s">
        <v>49</v>
      </c>
      <c r="Z12" s="6" t="s">
        <v>50</v>
      </c>
      <c r="AA12" s="2" t="s">
        <v>51</v>
      </c>
      <c r="AB12" s="4" t="s">
        <v>151</v>
      </c>
      <c r="AC12" s="6" t="s">
        <v>53</v>
      </c>
    </row>
    <row r="13">
      <c r="A13" s="2" t="str">
        <f t="shared" si="1"/>
        <v>(650) 225-4401</v>
      </c>
      <c r="B13" s="6" t="s">
        <v>152</v>
      </c>
      <c r="C13" s="3" t="s">
        <v>153</v>
      </c>
      <c r="D13" s="6" t="str">
        <f t="shared" si="2"/>
        <v>(650) 225-4401</v>
      </c>
      <c r="E13" s="2" t="s">
        <v>89</v>
      </c>
      <c r="F13" s="2" t="s">
        <v>154</v>
      </c>
      <c r="G13" s="6" t="s">
        <v>155</v>
      </c>
      <c r="H13" s="6" t="s">
        <v>156</v>
      </c>
      <c r="I13" s="6" t="s">
        <v>157</v>
      </c>
      <c r="J13" s="6" t="s">
        <v>158</v>
      </c>
      <c r="K13" s="4" t="s">
        <v>159</v>
      </c>
      <c r="L13" s="4" t="s">
        <v>96</v>
      </c>
      <c r="M13" s="4">
        <v>94080.0</v>
      </c>
      <c r="N13" s="4" t="s">
        <v>64</v>
      </c>
      <c r="O13" s="4" t="s">
        <v>41</v>
      </c>
      <c r="P13" s="4" t="s">
        <v>42</v>
      </c>
      <c r="Q13" s="4" t="s">
        <v>43</v>
      </c>
      <c r="R13" s="4" t="s">
        <v>44</v>
      </c>
      <c r="S13" s="4" t="s">
        <v>45</v>
      </c>
      <c r="T13" s="4">
        <v>1000000.0</v>
      </c>
      <c r="U13" s="4">
        <v>10.0</v>
      </c>
      <c r="V13" s="4" t="s">
        <v>46</v>
      </c>
      <c r="W13" s="4" t="s">
        <v>47</v>
      </c>
      <c r="X13" s="4" t="s">
        <v>48</v>
      </c>
      <c r="Y13" s="4" t="s">
        <v>49</v>
      </c>
      <c r="Z13" s="6" t="s">
        <v>50</v>
      </c>
      <c r="AA13" s="2" t="s">
        <v>51</v>
      </c>
      <c r="AB13" s="6" t="s">
        <v>160</v>
      </c>
      <c r="AC13" s="6" t="s">
        <v>53</v>
      </c>
    </row>
    <row r="14">
      <c r="A14" s="2" t="str">
        <f t="shared" si="1"/>
        <v>(916) 351-5282</v>
      </c>
      <c r="B14" s="4" t="s">
        <v>161</v>
      </c>
      <c r="C14" s="7" t="s">
        <v>162</v>
      </c>
      <c r="D14" s="6" t="str">
        <f t="shared" si="2"/>
        <v>(916) 351-5282</v>
      </c>
      <c r="E14" s="2" t="s">
        <v>163</v>
      </c>
      <c r="F14" s="2" t="s">
        <v>164</v>
      </c>
      <c r="G14" s="4" t="s">
        <v>165</v>
      </c>
      <c r="H14" s="4" t="s">
        <v>166</v>
      </c>
      <c r="I14" s="4" t="s">
        <v>167</v>
      </c>
      <c r="J14" s="4" t="s">
        <v>168</v>
      </c>
      <c r="K14" s="4" t="s">
        <v>169</v>
      </c>
      <c r="L14" s="4" t="s">
        <v>96</v>
      </c>
      <c r="M14" s="4">
        <v>95742.0</v>
      </c>
      <c r="N14" s="4" t="s">
        <v>64</v>
      </c>
      <c r="O14" s="4" t="s">
        <v>41</v>
      </c>
      <c r="P14" s="4" t="s">
        <v>42</v>
      </c>
      <c r="Q14" s="4" t="s">
        <v>43</v>
      </c>
      <c r="R14" s="4" t="s">
        <v>44</v>
      </c>
      <c r="S14" s="4" t="s">
        <v>45</v>
      </c>
      <c r="T14" s="4">
        <v>1000000.0</v>
      </c>
      <c r="U14" s="4">
        <v>10.0</v>
      </c>
      <c r="V14" s="4" t="s">
        <v>46</v>
      </c>
      <c r="W14" s="4" t="s">
        <v>47</v>
      </c>
      <c r="X14" s="4" t="s">
        <v>48</v>
      </c>
      <c r="Y14" s="4" t="s">
        <v>49</v>
      </c>
      <c r="Z14" s="6" t="s">
        <v>50</v>
      </c>
      <c r="AA14" s="2" t="s">
        <v>51</v>
      </c>
      <c r="AB14" s="4" t="s">
        <v>170</v>
      </c>
      <c r="AC14" s="6" t="s">
        <v>53</v>
      </c>
    </row>
    <row r="15">
      <c r="A15" s="2" t="str">
        <f t="shared" si="1"/>
        <v>(818) 842-6121</v>
      </c>
      <c r="B15" s="6" t="s">
        <v>171</v>
      </c>
      <c r="C15" s="6"/>
      <c r="D15" s="6" t="str">
        <f t="shared" si="2"/>
        <v>(818) 842-6121</v>
      </c>
      <c r="E15" s="2" t="s">
        <v>172</v>
      </c>
      <c r="F15" s="2" t="s">
        <v>173</v>
      </c>
      <c r="G15" s="6" t="s">
        <v>174</v>
      </c>
      <c r="H15" s="6" t="s">
        <v>175</v>
      </c>
      <c r="I15" s="6" t="s">
        <v>176</v>
      </c>
      <c r="J15" s="6" t="s">
        <v>177</v>
      </c>
      <c r="K15" s="4" t="s">
        <v>178</v>
      </c>
      <c r="L15" s="4" t="s">
        <v>96</v>
      </c>
      <c r="M15" s="4">
        <v>91510.0</v>
      </c>
      <c r="N15" s="4" t="s">
        <v>64</v>
      </c>
      <c r="O15" s="4" t="s">
        <v>41</v>
      </c>
      <c r="P15" s="4" t="s">
        <v>42</v>
      </c>
      <c r="Q15" s="4" t="s">
        <v>43</v>
      </c>
      <c r="R15" s="4" t="s">
        <v>44</v>
      </c>
      <c r="S15" s="4" t="s">
        <v>45</v>
      </c>
      <c r="T15" s="4">
        <v>1000000.0</v>
      </c>
      <c r="U15" s="4">
        <v>10.0</v>
      </c>
      <c r="V15" s="4" t="s">
        <v>46</v>
      </c>
      <c r="W15" s="4" t="s">
        <v>47</v>
      </c>
      <c r="X15" s="4" t="s">
        <v>48</v>
      </c>
      <c r="Y15" s="4" t="s">
        <v>49</v>
      </c>
      <c r="Z15" s="6" t="s">
        <v>50</v>
      </c>
      <c r="AA15" s="2" t="s">
        <v>51</v>
      </c>
      <c r="AB15" s="6" t="s">
        <v>179</v>
      </c>
      <c r="AC15" s="6" t="s">
        <v>53</v>
      </c>
    </row>
    <row r="16">
      <c r="A16" s="2" t="str">
        <f t="shared" si="1"/>
        <v>(925) 946-3140</v>
      </c>
      <c r="B16" s="4" t="s">
        <v>180</v>
      </c>
      <c r="C16" s="7" t="s">
        <v>181</v>
      </c>
      <c r="D16" s="6" t="str">
        <f t="shared" si="2"/>
        <v>(925) 946-3140</v>
      </c>
      <c r="E16" s="2" t="s">
        <v>182</v>
      </c>
      <c r="F16" s="2" t="s">
        <v>183</v>
      </c>
      <c r="G16" s="4" t="s">
        <v>184</v>
      </c>
      <c r="H16" s="4" t="s">
        <v>185</v>
      </c>
      <c r="I16" s="4" t="s">
        <v>186</v>
      </c>
      <c r="J16" s="4" t="s">
        <v>187</v>
      </c>
      <c r="K16" s="4" t="s">
        <v>188</v>
      </c>
      <c r="L16" s="4" t="s">
        <v>96</v>
      </c>
      <c r="M16" s="4">
        <v>94598.0</v>
      </c>
      <c r="N16" s="4" t="s">
        <v>64</v>
      </c>
      <c r="O16" s="4" t="s">
        <v>41</v>
      </c>
      <c r="P16" s="4" t="s">
        <v>42</v>
      </c>
      <c r="Q16" s="4" t="s">
        <v>43</v>
      </c>
      <c r="R16" s="4" t="s">
        <v>44</v>
      </c>
      <c r="S16" s="4" t="s">
        <v>45</v>
      </c>
      <c r="T16" s="4">
        <v>1000000.0</v>
      </c>
      <c r="U16" s="4">
        <v>10.0</v>
      </c>
      <c r="V16" s="4" t="s">
        <v>46</v>
      </c>
      <c r="W16" s="4" t="s">
        <v>47</v>
      </c>
      <c r="X16" s="4" t="s">
        <v>48</v>
      </c>
      <c r="Y16" s="4" t="s">
        <v>49</v>
      </c>
      <c r="Z16" s="6" t="s">
        <v>50</v>
      </c>
      <c r="AA16" s="2" t="s">
        <v>51</v>
      </c>
      <c r="AB16" s="4" t="s">
        <v>189</v>
      </c>
      <c r="AC16" s="6" t="s">
        <v>53</v>
      </c>
    </row>
    <row r="17">
      <c r="A17" s="2" t="str">
        <f t="shared" si="1"/>
        <v>(865) 220-4679</v>
      </c>
      <c r="B17" s="6" t="s">
        <v>190</v>
      </c>
      <c r="C17" s="6"/>
      <c r="D17" s="6" t="str">
        <f t="shared" si="2"/>
        <v>(865) 220-4679</v>
      </c>
      <c r="E17" s="2" t="s">
        <v>191</v>
      </c>
      <c r="F17" s="2" t="s">
        <v>192</v>
      </c>
      <c r="G17" s="6" t="s">
        <v>193</v>
      </c>
      <c r="H17" s="6" t="s">
        <v>194</v>
      </c>
      <c r="I17" s="6" t="s">
        <v>195</v>
      </c>
      <c r="J17" s="6" t="s">
        <v>196</v>
      </c>
      <c r="K17" s="4" t="s">
        <v>197</v>
      </c>
      <c r="L17" s="4" t="s">
        <v>96</v>
      </c>
      <c r="M17" s="4">
        <v>91105.0</v>
      </c>
      <c r="N17" s="4" t="s">
        <v>64</v>
      </c>
      <c r="O17" s="4" t="s">
        <v>41</v>
      </c>
      <c r="P17" s="4" t="s">
        <v>42</v>
      </c>
      <c r="Q17" s="4" t="s">
        <v>43</v>
      </c>
      <c r="R17" s="4" t="s">
        <v>44</v>
      </c>
      <c r="S17" s="4" t="s">
        <v>45</v>
      </c>
      <c r="T17" s="4">
        <v>1000000.0</v>
      </c>
      <c r="U17" s="4">
        <v>10.0</v>
      </c>
      <c r="V17" s="4" t="s">
        <v>46</v>
      </c>
      <c r="W17" s="4" t="s">
        <v>47</v>
      </c>
      <c r="X17" s="4" t="s">
        <v>48</v>
      </c>
      <c r="Y17" s="4" t="s">
        <v>49</v>
      </c>
      <c r="Z17" s="6" t="s">
        <v>50</v>
      </c>
      <c r="AA17" s="2" t="s">
        <v>51</v>
      </c>
      <c r="AB17" s="6" t="s">
        <v>198</v>
      </c>
      <c r="AC17" s="6" t="s">
        <v>53</v>
      </c>
    </row>
    <row r="18">
      <c r="A18" s="2" t="str">
        <f t="shared" si="1"/>
        <v>(951) 943-4014</v>
      </c>
      <c r="B18" s="4" t="s">
        <v>199</v>
      </c>
      <c r="C18" s="7" t="s">
        <v>200</v>
      </c>
      <c r="D18" s="6" t="str">
        <f t="shared" si="2"/>
        <v>(951) 943-4014</v>
      </c>
      <c r="E18" s="6" t="s">
        <v>31</v>
      </c>
      <c r="F18" s="6" t="s">
        <v>201</v>
      </c>
      <c r="G18" s="4" t="s">
        <v>202</v>
      </c>
      <c r="H18" s="4" t="s">
        <v>203</v>
      </c>
      <c r="I18" s="4" t="s">
        <v>204</v>
      </c>
      <c r="J18" s="4" t="s">
        <v>205</v>
      </c>
      <c r="K18" s="4" t="s">
        <v>206</v>
      </c>
      <c r="L18" s="4" t="s">
        <v>96</v>
      </c>
      <c r="M18" s="4">
        <v>92571.0</v>
      </c>
      <c r="N18" s="4" t="s">
        <v>64</v>
      </c>
      <c r="O18" s="4" t="s">
        <v>41</v>
      </c>
      <c r="P18" s="4" t="s">
        <v>42</v>
      </c>
      <c r="Q18" s="4" t="s">
        <v>43</v>
      </c>
      <c r="R18" s="4" t="s">
        <v>44</v>
      </c>
      <c r="S18" s="4" t="s">
        <v>45</v>
      </c>
      <c r="T18" s="4">
        <v>1000000.0</v>
      </c>
      <c r="U18" s="4">
        <v>10.0</v>
      </c>
      <c r="V18" s="4" t="s">
        <v>46</v>
      </c>
      <c r="W18" s="4" t="s">
        <v>47</v>
      </c>
      <c r="X18" s="4" t="s">
        <v>48</v>
      </c>
      <c r="Y18" s="4" t="s">
        <v>49</v>
      </c>
      <c r="Z18" s="6" t="s">
        <v>50</v>
      </c>
      <c r="AA18" s="2" t="s">
        <v>51</v>
      </c>
      <c r="AB18" s="8"/>
      <c r="AC18" s="6" t="s">
        <v>53</v>
      </c>
    </row>
    <row r="19">
      <c r="A19" s="2" t="str">
        <f t="shared" si="1"/>
        <v>(619) 544-8647</v>
      </c>
      <c r="B19" s="6" t="s">
        <v>207</v>
      </c>
      <c r="C19" s="3" t="s">
        <v>208</v>
      </c>
      <c r="D19" s="6" t="str">
        <f t="shared" si="2"/>
        <v>(619) 544-8647</v>
      </c>
      <c r="E19" s="2" t="s">
        <v>209</v>
      </c>
      <c r="F19" s="2" t="s">
        <v>210</v>
      </c>
      <c r="G19" s="6" t="s">
        <v>211</v>
      </c>
      <c r="H19" s="6" t="s">
        <v>212</v>
      </c>
      <c r="I19" s="6" t="s">
        <v>213</v>
      </c>
      <c r="J19" s="6" t="s">
        <v>214</v>
      </c>
      <c r="K19" s="4" t="s">
        <v>140</v>
      </c>
      <c r="L19" s="4" t="s">
        <v>96</v>
      </c>
      <c r="M19" s="4">
        <v>92113.0</v>
      </c>
      <c r="N19" s="4" t="s">
        <v>64</v>
      </c>
      <c r="O19" s="4" t="s">
        <v>41</v>
      </c>
      <c r="P19" s="4" t="s">
        <v>42</v>
      </c>
      <c r="Q19" s="4" t="s">
        <v>43</v>
      </c>
      <c r="R19" s="4" t="s">
        <v>44</v>
      </c>
      <c r="S19" s="4" t="s">
        <v>45</v>
      </c>
      <c r="T19" s="4">
        <v>1000000.0</v>
      </c>
      <c r="U19" s="4">
        <v>10.0</v>
      </c>
      <c r="V19" s="4" t="s">
        <v>46</v>
      </c>
      <c r="W19" s="4" t="s">
        <v>47</v>
      </c>
      <c r="X19" s="4" t="s">
        <v>48</v>
      </c>
      <c r="Y19" s="4" t="s">
        <v>49</v>
      </c>
      <c r="Z19" s="6" t="s">
        <v>50</v>
      </c>
      <c r="AA19" s="2" t="s">
        <v>51</v>
      </c>
      <c r="AB19" s="6" t="s">
        <v>215</v>
      </c>
      <c r="AC19" s="6" t="s">
        <v>53</v>
      </c>
    </row>
    <row r="20">
      <c r="A20" s="2" t="str">
        <f t="shared" si="1"/>
        <v>(707) 257-3200</v>
      </c>
      <c r="B20" s="4" t="s">
        <v>216</v>
      </c>
      <c r="C20" s="4"/>
      <c r="D20" s="6" t="str">
        <f t="shared" si="2"/>
        <v>(707) 257-3200</v>
      </c>
      <c r="E20" s="2" t="s">
        <v>217</v>
      </c>
      <c r="F20" s="2" t="s">
        <v>218</v>
      </c>
      <c r="G20" s="4" t="s">
        <v>219</v>
      </c>
      <c r="H20" s="4" t="s">
        <v>220</v>
      </c>
      <c r="I20" s="4" t="s">
        <v>221</v>
      </c>
      <c r="J20" s="4" t="s">
        <v>222</v>
      </c>
      <c r="K20" s="4" t="s">
        <v>223</v>
      </c>
      <c r="L20" s="4" t="s">
        <v>96</v>
      </c>
      <c r="M20" s="4">
        <v>94558.0</v>
      </c>
      <c r="N20" s="4" t="s">
        <v>64</v>
      </c>
      <c r="O20" s="4" t="s">
        <v>41</v>
      </c>
      <c r="P20" s="4" t="s">
        <v>42</v>
      </c>
      <c r="Q20" s="4" t="s">
        <v>43</v>
      </c>
      <c r="R20" s="4" t="s">
        <v>44</v>
      </c>
      <c r="S20" s="4" t="s">
        <v>45</v>
      </c>
      <c r="T20" s="4">
        <v>1000000.0</v>
      </c>
      <c r="U20" s="4">
        <v>10.0</v>
      </c>
      <c r="V20" s="4" t="s">
        <v>46</v>
      </c>
      <c r="W20" s="4" t="s">
        <v>47</v>
      </c>
      <c r="X20" s="4" t="s">
        <v>48</v>
      </c>
      <c r="Y20" s="4" t="s">
        <v>49</v>
      </c>
      <c r="Z20" s="6" t="s">
        <v>50</v>
      </c>
      <c r="AA20" s="2" t="s">
        <v>51</v>
      </c>
      <c r="AB20" s="4" t="s">
        <v>224</v>
      </c>
      <c r="AC20" s="6" t="s">
        <v>53</v>
      </c>
    </row>
    <row r="21">
      <c r="A21" s="2" t="str">
        <f t="shared" si="1"/>
        <v>(619) 458-9044</v>
      </c>
      <c r="B21" s="6" t="s">
        <v>225</v>
      </c>
      <c r="C21" s="3" t="s">
        <v>226</v>
      </c>
      <c r="D21" s="6" t="str">
        <f t="shared" si="2"/>
        <v>(619) 458-9044</v>
      </c>
      <c r="E21" s="2" t="s">
        <v>227</v>
      </c>
      <c r="F21" s="2" t="s">
        <v>228</v>
      </c>
      <c r="G21" s="6" t="s">
        <v>81</v>
      </c>
      <c r="H21" s="6" t="s">
        <v>229</v>
      </c>
      <c r="I21" s="6" t="s">
        <v>230</v>
      </c>
      <c r="J21" s="6" t="s">
        <v>231</v>
      </c>
      <c r="K21" s="4" t="s">
        <v>140</v>
      </c>
      <c r="L21" s="4" t="s">
        <v>96</v>
      </c>
      <c r="M21" s="4">
        <v>92121.0</v>
      </c>
      <c r="N21" s="4" t="s">
        <v>64</v>
      </c>
      <c r="O21" s="4" t="s">
        <v>41</v>
      </c>
      <c r="P21" s="4" t="s">
        <v>42</v>
      </c>
      <c r="Q21" s="4" t="s">
        <v>43</v>
      </c>
      <c r="R21" s="4" t="s">
        <v>44</v>
      </c>
      <c r="S21" s="4" t="s">
        <v>45</v>
      </c>
      <c r="T21" s="4">
        <v>1000000.0</v>
      </c>
      <c r="U21" s="4">
        <v>10.0</v>
      </c>
      <c r="V21" s="4" t="s">
        <v>46</v>
      </c>
      <c r="W21" s="4" t="s">
        <v>47</v>
      </c>
      <c r="X21" s="4" t="s">
        <v>48</v>
      </c>
      <c r="Y21" s="4" t="s">
        <v>49</v>
      </c>
      <c r="Z21" s="6" t="s">
        <v>50</v>
      </c>
      <c r="AA21" s="2" t="s">
        <v>51</v>
      </c>
      <c r="AB21" s="2"/>
      <c r="AC21" s="6" t="s">
        <v>53</v>
      </c>
    </row>
    <row r="22">
      <c r="A22" s="2" t="str">
        <f t="shared" si="1"/>
        <v>(310) 514-2400</v>
      </c>
      <c r="B22" s="4" t="s">
        <v>232</v>
      </c>
      <c r="C22" s="4"/>
      <c r="D22" s="6" t="str">
        <f t="shared" si="2"/>
        <v>(310) 514-2400</v>
      </c>
      <c r="E22" s="6" t="s">
        <v>233</v>
      </c>
      <c r="F22" s="6" t="s">
        <v>234</v>
      </c>
      <c r="G22" s="4" t="s">
        <v>91</v>
      </c>
      <c r="H22" s="4" t="s">
        <v>235</v>
      </c>
      <c r="I22" s="4" t="s">
        <v>236</v>
      </c>
      <c r="J22" s="4" t="s">
        <v>237</v>
      </c>
      <c r="K22" s="4" t="s">
        <v>238</v>
      </c>
      <c r="L22" s="4" t="s">
        <v>96</v>
      </c>
      <c r="M22" s="4">
        <v>90731.0</v>
      </c>
      <c r="N22" s="4" t="s">
        <v>64</v>
      </c>
      <c r="O22" s="4" t="s">
        <v>41</v>
      </c>
      <c r="P22" s="4" t="s">
        <v>42</v>
      </c>
      <c r="Q22" s="4" t="s">
        <v>43</v>
      </c>
      <c r="R22" s="4" t="s">
        <v>44</v>
      </c>
      <c r="S22" s="4" t="s">
        <v>45</v>
      </c>
      <c r="T22" s="4">
        <v>1000000.0</v>
      </c>
      <c r="U22" s="4">
        <v>10.0</v>
      </c>
      <c r="V22" s="4" t="s">
        <v>46</v>
      </c>
      <c r="W22" s="4" t="s">
        <v>47</v>
      </c>
      <c r="X22" s="4" t="s">
        <v>48</v>
      </c>
      <c r="Y22" s="4" t="s">
        <v>49</v>
      </c>
      <c r="Z22" s="6" t="s">
        <v>50</v>
      </c>
      <c r="AA22" s="2" t="s">
        <v>51</v>
      </c>
      <c r="AB22" s="8"/>
      <c r="AC22" s="6" t="s">
        <v>53</v>
      </c>
    </row>
    <row r="23">
      <c r="A23" s="2" t="str">
        <f t="shared" si="1"/>
        <v>(310) 563-7824</v>
      </c>
      <c r="B23" s="6" t="s">
        <v>239</v>
      </c>
      <c r="C23" s="3" t="s">
        <v>240</v>
      </c>
      <c r="D23" s="6" t="str">
        <f t="shared" si="2"/>
        <v>(310) 563-7824</v>
      </c>
      <c r="E23" s="2" t="s">
        <v>241</v>
      </c>
      <c r="F23" s="2" t="s">
        <v>242</v>
      </c>
      <c r="G23" s="6" t="s">
        <v>91</v>
      </c>
      <c r="H23" s="6" t="s">
        <v>243</v>
      </c>
      <c r="I23" s="6" t="s">
        <v>244</v>
      </c>
      <c r="J23" s="6" t="s">
        <v>245</v>
      </c>
      <c r="K23" s="4" t="s">
        <v>95</v>
      </c>
      <c r="L23" s="4" t="s">
        <v>96</v>
      </c>
      <c r="M23" s="4">
        <v>92029.0</v>
      </c>
      <c r="N23" s="4" t="s">
        <v>64</v>
      </c>
      <c r="O23" s="4" t="s">
        <v>41</v>
      </c>
      <c r="P23" s="4" t="s">
        <v>42</v>
      </c>
      <c r="Q23" s="4" t="s">
        <v>43</v>
      </c>
      <c r="R23" s="4" t="s">
        <v>44</v>
      </c>
      <c r="S23" s="4" t="s">
        <v>45</v>
      </c>
      <c r="T23" s="4">
        <v>1000000.0</v>
      </c>
      <c r="U23" s="4">
        <v>10.0</v>
      </c>
      <c r="V23" s="4" t="s">
        <v>46</v>
      </c>
      <c r="W23" s="4" t="s">
        <v>47</v>
      </c>
      <c r="X23" s="4" t="s">
        <v>48</v>
      </c>
      <c r="Y23" s="4" t="s">
        <v>49</v>
      </c>
      <c r="Z23" s="6" t="s">
        <v>50</v>
      </c>
      <c r="AA23" s="2" t="s">
        <v>51</v>
      </c>
      <c r="AB23" s="6" t="s">
        <v>246</v>
      </c>
      <c r="AC23" s="6" t="s">
        <v>53</v>
      </c>
    </row>
    <row r="24">
      <c r="A24" s="2" t="str">
        <f t="shared" si="1"/>
        <v>(949) 660-8385</v>
      </c>
      <c r="B24" s="4" t="s">
        <v>247</v>
      </c>
      <c r="C24" s="7" t="s">
        <v>248</v>
      </c>
      <c r="D24" s="6" t="str">
        <f t="shared" si="2"/>
        <v>(949) 660-8385</v>
      </c>
      <c r="E24" s="2" t="s">
        <v>249</v>
      </c>
      <c r="F24" s="2" t="s">
        <v>250</v>
      </c>
      <c r="G24" s="4" t="s">
        <v>91</v>
      </c>
      <c r="H24" s="4" t="s">
        <v>251</v>
      </c>
      <c r="I24" s="4" t="s">
        <v>252</v>
      </c>
      <c r="J24" s="4" t="s">
        <v>253</v>
      </c>
      <c r="K24" s="4" t="s">
        <v>254</v>
      </c>
      <c r="L24" s="4" t="s">
        <v>96</v>
      </c>
      <c r="M24" s="4">
        <v>92618.0</v>
      </c>
      <c r="N24" s="4" t="s">
        <v>64</v>
      </c>
      <c r="O24" s="4" t="s">
        <v>41</v>
      </c>
      <c r="P24" s="4" t="s">
        <v>42</v>
      </c>
      <c r="Q24" s="4" t="s">
        <v>43</v>
      </c>
      <c r="R24" s="4" t="s">
        <v>44</v>
      </c>
      <c r="S24" s="4" t="s">
        <v>45</v>
      </c>
      <c r="T24" s="4">
        <v>1000000.0</v>
      </c>
      <c r="U24" s="4">
        <v>10.0</v>
      </c>
      <c r="V24" s="4" t="s">
        <v>46</v>
      </c>
      <c r="W24" s="4" t="s">
        <v>47</v>
      </c>
      <c r="X24" s="4" t="s">
        <v>48</v>
      </c>
      <c r="Y24" s="4" t="s">
        <v>49</v>
      </c>
      <c r="Z24" s="6" t="s">
        <v>50</v>
      </c>
      <c r="AA24" s="2" t="s">
        <v>51</v>
      </c>
      <c r="AB24" s="4" t="s">
        <v>255</v>
      </c>
      <c r="AC24" s="6" t="s">
        <v>53</v>
      </c>
    </row>
    <row r="25">
      <c r="A25" s="2" t="str">
        <f t="shared" si="1"/>
        <v>(626) 440-3635</v>
      </c>
      <c r="B25" s="6" t="s">
        <v>256</v>
      </c>
      <c r="C25" s="3" t="s">
        <v>257</v>
      </c>
      <c r="D25" s="6" t="str">
        <f t="shared" si="2"/>
        <v>(626) 440-3635</v>
      </c>
      <c r="E25" s="2" t="s">
        <v>258</v>
      </c>
      <c r="F25" s="2" t="s">
        <v>259</v>
      </c>
      <c r="G25" s="6" t="s">
        <v>260</v>
      </c>
      <c r="H25" s="6" t="s">
        <v>261</v>
      </c>
      <c r="I25" s="6" t="s">
        <v>262</v>
      </c>
      <c r="J25" s="6" t="s">
        <v>263</v>
      </c>
      <c r="K25" s="4" t="s">
        <v>197</v>
      </c>
      <c r="L25" s="4" t="s">
        <v>96</v>
      </c>
      <c r="M25" s="4">
        <v>91124.0</v>
      </c>
      <c r="N25" s="4" t="s">
        <v>64</v>
      </c>
      <c r="O25" s="4" t="s">
        <v>41</v>
      </c>
      <c r="P25" s="4" t="s">
        <v>42</v>
      </c>
      <c r="Q25" s="4" t="s">
        <v>43</v>
      </c>
      <c r="R25" s="4" t="s">
        <v>44</v>
      </c>
      <c r="S25" s="4" t="s">
        <v>45</v>
      </c>
      <c r="T25" s="4">
        <v>1000000.0</v>
      </c>
      <c r="U25" s="4">
        <v>10.0</v>
      </c>
      <c r="V25" s="4" t="s">
        <v>46</v>
      </c>
      <c r="W25" s="4" t="s">
        <v>47</v>
      </c>
      <c r="X25" s="4" t="s">
        <v>48</v>
      </c>
      <c r="Y25" s="4" t="s">
        <v>49</v>
      </c>
      <c r="Z25" s="6" t="s">
        <v>50</v>
      </c>
      <c r="AA25" s="2" t="s">
        <v>51</v>
      </c>
      <c r="AB25" s="6" t="s">
        <v>264</v>
      </c>
      <c r="AC25" s="6" t="s">
        <v>53</v>
      </c>
    </row>
    <row r="26">
      <c r="A26" s="2" t="str">
        <f t="shared" si="1"/>
        <v>(818) 260-2925</v>
      </c>
      <c r="B26" s="4" t="s">
        <v>265</v>
      </c>
      <c r="C26" s="7" t="s">
        <v>266</v>
      </c>
      <c r="D26" s="6" t="str">
        <f t="shared" si="2"/>
        <v>(818) 260-2925</v>
      </c>
      <c r="E26" s="2" t="s">
        <v>267</v>
      </c>
      <c r="F26" s="2" t="s">
        <v>268</v>
      </c>
      <c r="G26" s="4" t="s">
        <v>91</v>
      </c>
      <c r="H26" s="4" t="s">
        <v>269</v>
      </c>
      <c r="I26" s="4" t="s">
        <v>270</v>
      </c>
      <c r="J26" s="4" t="s">
        <v>271</v>
      </c>
      <c r="K26" s="4" t="s">
        <v>178</v>
      </c>
      <c r="L26" s="4" t="s">
        <v>96</v>
      </c>
      <c r="M26" s="4">
        <v>91504.0</v>
      </c>
      <c r="N26" s="4" t="s">
        <v>64</v>
      </c>
      <c r="O26" s="4" t="s">
        <v>41</v>
      </c>
      <c r="P26" s="4" t="s">
        <v>42</v>
      </c>
      <c r="Q26" s="4" t="s">
        <v>43</v>
      </c>
      <c r="R26" s="4" t="s">
        <v>44</v>
      </c>
      <c r="S26" s="4" t="s">
        <v>45</v>
      </c>
      <c r="T26" s="4">
        <v>1000000.0</v>
      </c>
      <c r="U26" s="4">
        <v>10.0</v>
      </c>
      <c r="V26" s="4" t="s">
        <v>46</v>
      </c>
      <c r="W26" s="4" t="s">
        <v>47</v>
      </c>
      <c r="X26" s="4" t="s">
        <v>48</v>
      </c>
      <c r="Y26" s="4" t="s">
        <v>49</v>
      </c>
      <c r="Z26" s="6" t="s">
        <v>50</v>
      </c>
      <c r="AA26" s="2" t="s">
        <v>51</v>
      </c>
      <c r="AB26" s="4" t="s">
        <v>272</v>
      </c>
      <c r="AC26" s="6" t="s">
        <v>53</v>
      </c>
    </row>
    <row r="27">
      <c r="A27" s="2" t="str">
        <f t="shared" si="1"/>
        <v>(805) 267-0100</v>
      </c>
      <c r="B27" s="6" t="s">
        <v>273</v>
      </c>
      <c r="C27" s="6"/>
      <c r="D27" s="6" t="str">
        <f t="shared" si="2"/>
        <v>(805) 267-0100</v>
      </c>
      <c r="E27" s="2" t="s">
        <v>274</v>
      </c>
      <c r="F27" s="2" t="s">
        <v>275</v>
      </c>
      <c r="G27" s="6" t="s">
        <v>91</v>
      </c>
      <c r="H27" s="6" t="s">
        <v>276</v>
      </c>
      <c r="I27" s="6" t="s">
        <v>277</v>
      </c>
      <c r="J27" s="6" t="s">
        <v>278</v>
      </c>
      <c r="K27" s="4" t="s">
        <v>105</v>
      </c>
      <c r="L27" s="4" t="s">
        <v>96</v>
      </c>
      <c r="M27" s="4">
        <v>91361.0</v>
      </c>
      <c r="N27" s="4" t="s">
        <v>64</v>
      </c>
      <c r="O27" s="4" t="s">
        <v>41</v>
      </c>
      <c r="P27" s="4" t="s">
        <v>42</v>
      </c>
      <c r="Q27" s="4" t="s">
        <v>43</v>
      </c>
      <c r="R27" s="4" t="s">
        <v>44</v>
      </c>
      <c r="S27" s="4" t="s">
        <v>45</v>
      </c>
      <c r="T27" s="4">
        <v>1000000.0</v>
      </c>
      <c r="U27" s="4">
        <v>10.0</v>
      </c>
      <c r="V27" s="4" t="s">
        <v>46</v>
      </c>
      <c r="W27" s="4" t="s">
        <v>47</v>
      </c>
      <c r="X27" s="4" t="s">
        <v>48</v>
      </c>
      <c r="Y27" s="4" t="s">
        <v>49</v>
      </c>
      <c r="Z27" s="6" t="s">
        <v>50</v>
      </c>
      <c r="AA27" s="2" t="s">
        <v>51</v>
      </c>
      <c r="AB27" s="2"/>
      <c r="AC27" s="6" t="s">
        <v>53</v>
      </c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8"/>
      <c r="AA28" s="8"/>
      <c r="AB28" s="8"/>
      <c r="AC28" s="8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2"/>
      <c r="AA29" s="2"/>
      <c r="AB29" s="2"/>
      <c r="AC29" s="2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8"/>
      <c r="AA30" s="8"/>
      <c r="AB30" s="8"/>
      <c r="AC30" s="8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9"/>
      <c r="U31" s="9"/>
      <c r="V31" s="2"/>
      <c r="W31" s="2"/>
      <c r="X31" s="2"/>
      <c r="Y31" s="2"/>
      <c r="Z31" s="2"/>
      <c r="AA31" s="2"/>
      <c r="AB31" s="2"/>
      <c r="AC31" s="2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10"/>
      <c r="U32" s="10"/>
      <c r="V32" s="8"/>
      <c r="W32" s="8"/>
      <c r="X32" s="8"/>
      <c r="Y32" s="8"/>
      <c r="Z32" s="8"/>
      <c r="AA32" s="8"/>
      <c r="AB32" s="8"/>
      <c r="AC32" s="8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9"/>
      <c r="U33" s="9"/>
      <c r="V33" s="2"/>
      <c r="W33" s="2"/>
      <c r="X33" s="2"/>
      <c r="Y33" s="2"/>
      <c r="Z33" s="2"/>
      <c r="AA33" s="2"/>
      <c r="AB33" s="2"/>
      <c r="AC33" s="2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10"/>
      <c r="U34" s="10"/>
      <c r="V34" s="8"/>
      <c r="W34" s="8"/>
      <c r="X34" s="8"/>
      <c r="Y34" s="8"/>
      <c r="Z34" s="8"/>
      <c r="AA34" s="8"/>
      <c r="AB34" s="8"/>
      <c r="AC34" s="8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9"/>
      <c r="U35" s="9"/>
      <c r="V35" s="2"/>
      <c r="W35" s="2"/>
      <c r="X35" s="2"/>
      <c r="Y35" s="2"/>
      <c r="Z35" s="2"/>
      <c r="AA35" s="2"/>
      <c r="AB35" s="2"/>
      <c r="AC35" s="2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10"/>
      <c r="U36" s="10"/>
      <c r="V36" s="8"/>
      <c r="W36" s="8"/>
      <c r="X36" s="8"/>
      <c r="Y36" s="8"/>
      <c r="Z36" s="8"/>
      <c r="AA36" s="8"/>
      <c r="AB36" s="8"/>
      <c r="AC36" s="8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9"/>
      <c r="U37" s="9"/>
      <c r="V37" s="2"/>
      <c r="W37" s="2"/>
      <c r="X37" s="2"/>
      <c r="Y37" s="2"/>
      <c r="Z37" s="2"/>
      <c r="AA37" s="2"/>
      <c r="AB37" s="2"/>
      <c r="AC37" s="2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10"/>
      <c r="U38" s="10"/>
      <c r="V38" s="8"/>
      <c r="W38" s="8"/>
      <c r="X38" s="8"/>
      <c r="Y38" s="8"/>
      <c r="Z38" s="8"/>
      <c r="AA38" s="8"/>
      <c r="AB38" s="8"/>
      <c r="AC38" s="8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9"/>
      <c r="U39" s="9"/>
      <c r="V39" s="2"/>
      <c r="W39" s="2"/>
      <c r="X39" s="2"/>
      <c r="Y39" s="2"/>
      <c r="Z39" s="2"/>
      <c r="AA39" s="2"/>
      <c r="AB39" s="2"/>
      <c r="AC39" s="2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10"/>
      <c r="U40" s="10"/>
      <c r="V40" s="8"/>
      <c r="W40" s="8"/>
      <c r="X40" s="8"/>
      <c r="Y40" s="8"/>
      <c r="Z40" s="8"/>
      <c r="AA40" s="8"/>
      <c r="AB40" s="8"/>
      <c r="AC40" s="8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9"/>
      <c r="U41" s="9"/>
      <c r="V41" s="2"/>
      <c r="W41" s="2"/>
      <c r="X41" s="2"/>
      <c r="Y41" s="2"/>
      <c r="Z41" s="2"/>
      <c r="AA41" s="2"/>
      <c r="AB41" s="2"/>
      <c r="AC41" s="2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10"/>
      <c r="U42" s="10"/>
      <c r="V42" s="8"/>
      <c r="W42" s="8"/>
      <c r="X42" s="8"/>
      <c r="Y42" s="8"/>
      <c r="Z42" s="8"/>
      <c r="AA42" s="8"/>
      <c r="AB42" s="8"/>
      <c r="AC42" s="8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9"/>
      <c r="U43" s="9"/>
      <c r="V43" s="2"/>
      <c r="W43" s="2"/>
      <c r="X43" s="2"/>
      <c r="Y43" s="2"/>
      <c r="Z43" s="2"/>
      <c r="AA43" s="2"/>
      <c r="AB43" s="2"/>
      <c r="AC43" s="2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10"/>
      <c r="U44" s="10"/>
      <c r="V44" s="8"/>
      <c r="W44" s="8"/>
      <c r="X44" s="8"/>
      <c r="Y44" s="8"/>
      <c r="Z44" s="8"/>
      <c r="AA44" s="8"/>
      <c r="AB44" s="8"/>
      <c r="AC44" s="8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9"/>
      <c r="U45" s="9"/>
      <c r="V45" s="2"/>
      <c r="W45" s="2"/>
      <c r="X45" s="2"/>
      <c r="Y45" s="2"/>
      <c r="Z45" s="2"/>
      <c r="AA45" s="2"/>
      <c r="AB45" s="2"/>
      <c r="AC45" s="2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10"/>
      <c r="U46" s="10"/>
      <c r="V46" s="8"/>
      <c r="W46" s="8"/>
      <c r="X46" s="8"/>
      <c r="Y46" s="8"/>
      <c r="Z46" s="8"/>
      <c r="AA46" s="8"/>
      <c r="AB46" s="8"/>
      <c r="AC46" s="8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9"/>
      <c r="U47" s="9"/>
      <c r="V47" s="2"/>
      <c r="W47" s="2"/>
      <c r="X47" s="2"/>
      <c r="Y47" s="2"/>
      <c r="Z47" s="2"/>
      <c r="AA47" s="2"/>
      <c r="AB47" s="2"/>
      <c r="AC47" s="2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10"/>
      <c r="U48" s="10"/>
      <c r="V48" s="8"/>
      <c r="W48" s="8"/>
      <c r="X48" s="8"/>
      <c r="Y48" s="8"/>
      <c r="Z48" s="8"/>
      <c r="AA48" s="8"/>
      <c r="AB48" s="8"/>
      <c r="AC48" s="8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9"/>
      <c r="U49" s="9"/>
      <c r="V49" s="2"/>
      <c r="W49" s="2"/>
      <c r="X49" s="2"/>
      <c r="Y49" s="2"/>
      <c r="Z49" s="2"/>
      <c r="AA49" s="2"/>
      <c r="AB49" s="2"/>
      <c r="AC49" s="2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10"/>
      <c r="U50" s="10"/>
      <c r="V50" s="8"/>
      <c r="W50" s="8"/>
      <c r="X50" s="8"/>
      <c r="Y50" s="8"/>
      <c r="Z50" s="8"/>
      <c r="AA50" s="8"/>
      <c r="AB50" s="8"/>
      <c r="AC50" s="8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9"/>
      <c r="U51" s="9"/>
      <c r="V51" s="2"/>
      <c r="W51" s="2"/>
      <c r="X51" s="2"/>
      <c r="Y51" s="2"/>
      <c r="Z51" s="2"/>
      <c r="AA51" s="2"/>
      <c r="AB51" s="2"/>
      <c r="AC51" s="2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10"/>
      <c r="U52" s="10"/>
      <c r="V52" s="8"/>
      <c r="W52" s="8"/>
      <c r="X52" s="8"/>
      <c r="Y52" s="8"/>
      <c r="Z52" s="8"/>
      <c r="AA52" s="8"/>
      <c r="AB52" s="8"/>
      <c r="AC52" s="8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9"/>
      <c r="U53" s="9"/>
      <c r="V53" s="2"/>
      <c r="W53" s="2"/>
      <c r="X53" s="2"/>
      <c r="Y53" s="2"/>
      <c r="Z53" s="2"/>
      <c r="AA53" s="2"/>
      <c r="AB53" s="2"/>
      <c r="AC53" s="2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10"/>
      <c r="U54" s="10"/>
      <c r="V54" s="8"/>
      <c r="W54" s="8"/>
      <c r="X54" s="8"/>
      <c r="Y54" s="8"/>
      <c r="Z54" s="8"/>
      <c r="AA54" s="8"/>
      <c r="AB54" s="8"/>
      <c r="AC54" s="8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9"/>
      <c r="U55" s="9"/>
      <c r="V55" s="2"/>
      <c r="W55" s="2"/>
      <c r="X55" s="2"/>
      <c r="Y55" s="2"/>
      <c r="Z55" s="2"/>
      <c r="AA55" s="2"/>
      <c r="AB55" s="2"/>
      <c r="AC55" s="2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10"/>
      <c r="U56" s="10"/>
      <c r="V56" s="8"/>
      <c r="W56" s="8"/>
      <c r="X56" s="8"/>
      <c r="Y56" s="8"/>
      <c r="Z56" s="8"/>
      <c r="AA56" s="8"/>
      <c r="AB56" s="8"/>
      <c r="AC56" s="8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9"/>
      <c r="U57" s="9"/>
      <c r="V57" s="2"/>
      <c r="W57" s="2"/>
      <c r="X57" s="2"/>
      <c r="Y57" s="2"/>
      <c r="Z57" s="2"/>
      <c r="AA57" s="2"/>
      <c r="AB57" s="2"/>
      <c r="AC57" s="2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10"/>
      <c r="U58" s="10"/>
      <c r="V58" s="8"/>
      <c r="W58" s="8"/>
      <c r="X58" s="8"/>
      <c r="Y58" s="8"/>
      <c r="Z58" s="8"/>
      <c r="AA58" s="8"/>
      <c r="AB58" s="8"/>
      <c r="AC58" s="8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9"/>
      <c r="U59" s="9"/>
      <c r="V59" s="2"/>
      <c r="W59" s="2"/>
      <c r="X59" s="2"/>
      <c r="Y59" s="2"/>
      <c r="Z59" s="2"/>
      <c r="AA59" s="2"/>
      <c r="AB59" s="2"/>
      <c r="AC59" s="2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10"/>
      <c r="U60" s="10"/>
      <c r="V60" s="8"/>
      <c r="W60" s="8"/>
      <c r="X60" s="8"/>
      <c r="Y60" s="8"/>
      <c r="Z60" s="8"/>
      <c r="AA60" s="8"/>
      <c r="AB60" s="8"/>
      <c r="AC60" s="8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9"/>
      <c r="U61" s="9"/>
      <c r="V61" s="2"/>
      <c r="W61" s="2"/>
      <c r="X61" s="2"/>
      <c r="Y61" s="2"/>
      <c r="Z61" s="2"/>
      <c r="AA61" s="2"/>
      <c r="AB61" s="2"/>
      <c r="AC61" s="2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10"/>
      <c r="U62" s="10"/>
      <c r="V62" s="8"/>
      <c r="W62" s="8"/>
      <c r="X62" s="8"/>
      <c r="Y62" s="8"/>
      <c r="Z62" s="8"/>
      <c r="AA62" s="8"/>
      <c r="AB62" s="8"/>
      <c r="AC62" s="8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9"/>
      <c r="U63" s="9"/>
      <c r="V63" s="2"/>
      <c r="W63" s="2"/>
      <c r="X63" s="2"/>
      <c r="Y63" s="2"/>
      <c r="Z63" s="2"/>
      <c r="AA63" s="2"/>
      <c r="AB63" s="2"/>
      <c r="AC63" s="2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10"/>
      <c r="U64" s="10"/>
      <c r="V64" s="8"/>
      <c r="W64" s="8"/>
      <c r="X64" s="8"/>
      <c r="Y64" s="8"/>
      <c r="Z64" s="8"/>
      <c r="AA64" s="8"/>
      <c r="AB64" s="8"/>
      <c r="AC64" s="8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9"/>
      <c r="U65" s="9"/>
      <c r="V65" s="2"/>
      <c r="W65" s="2"/>
      <c r="X65" s="2"/>
      <c r="Y65" s="2"/>
      <c r="Z65" s="2"/>
      <c r="AA65" s="2"/>
      <c r="AB65" s="2"/>
      <c r="AC65" s="2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10"/>
      <c r="U66" s="10"/>
      <c r="V66" s="8"/>
      <c r="W66" s="8"/>
      <c r="X66" s="8"/>
      <c r="Y66" s="8"/>
      <c r="Z66" s="8"/>
      <c r="AA66" s="8"/>
      <c r="AB66" s="8"/>
      <c r="AC66" s="8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9"/>
      <c r="U67" s="9"/>
      <c r="V67" s="2"/>
      <c r="W67" s="2"/>
      <c r="X67" s="2"/>
      <c r="Y67" s="2"/>
      <c r="Z67" s="2"/>
      <c r="AA67" s="2"/>
      <c r="AB67" s="2"/>
      <c r="AC67" s="2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0"/>
      <c r="U68" s="10"/>
      <c r="V68" s="8"/>
      <c r="W68" s="8"/>
      <c r="X68" s="8"/>
      <c r="Y68" s="8"/>
      <c r="Z68" s="8"/>
      <c r="AA68" s="8"/>
      <c r="AB68" s="8"/>
      <c r="AC68" s="8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9"/>
      <c r="U69" s="9"/>
      <c r="V69" s="2"/>
      <c r="W69" s="2"/>
      <c r="X69" s="2"/>
      <c r="Y69" s="2"/>
      <c r="Z69" s="2"/>
      <c r="AA69" s="2"/>
      <c r="AB69" s="2"/>
      <c r="AC69" s="2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10"/>
      <c r="U70" s="10"/>
      <c r="V70" s="8"/>
      <c r="W70" s="8"/>
      <c r="X70" s="8"/>
      <c r="Y70" s="8"/>
      <c r="Z70" s="8"/>
      <c r="AA70" s="8"/>
      <c r="AB70" s="8"/>
      <c r="AC70" s="8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9"/>
      <c r="U71" s="9"/>
      <c r="V71" s="2"/>
      <c r="W71" s="2"/>
      <c r="X71" s="2"/>
      <c r="Y71" s="2"/>
      <c r="Z71" s="2"/>
      <c r="AA71" s="2"/>
      <c r="AB71" s="2"/>
      <c r="AC71" s="2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10"/>
      <c r="U72" s="10"/>
      <c r="V72" s="8"/>
      <c r="W72" s="8"/>
      <c r="X72" s="8"/>
      <c r="Y72" s="8"/>
      <c r="Z72" s="8"/>
      <c r="AA72" s="8"/>
      <c r="AB72" s="8"/>
      <c r="AC72" s="8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9"/>
      <c r="U73" s="9"/>
      <c r="V73" s="2"/>
      <c r="W73" s="2"/>
      <c r="X73" s="2"/>
      <c r="Y73" s="2"/>
      <c r="Z73" s="2"/>
      <c r="AA73" s="2"/>
      <c r="AB73" s="2"/>
      <c r="AC73" s="2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10"/>
      <c r="U74" s="10"/>
      <c r="V74" s="8"/>
      <c r="W74" s="8"/>
      <c r="X74" s="8"/>
      <c r="Y74" s="8"/>
      <c r="Z74" s="8"/>
      <c r="AA74" s="8"/>
      <c r="AB74" s="8"/>
      <c r="AC74" s="8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9"/>
      <c r="U75" s="9"/>
      <c r="V75" s="2"/>
      <c r="W75" s="2"/>
      <c r="X75" s="2"/>
      <c r="Y75" s="2"/>
      <c r="Z75" s="2"/>
      <c r="AA75" s="2"/>
      <c r="AB75" s="2"/>
      <c r="AC75" s="2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10"/>
      <c r="U76" s="10"/>
      <c r="V76" s="8"/>
      <c r="W76" s="8"/>
      <c r="X76" s="8"/>
      <c r="Y76" s="8"/>
      <c r="Z76" s="8"/>
      <c r="AA76" s="8"/>
      <c r="AB76" s="8"/>
      <c r="AC76" s="8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9"/>
      <c r="U77" s="9"/>
      <c r="V77" s="2"/>
      <c r="W77" s="2"/>
      <c r="X77" s="2"/>
      <c r="Y77" s="2"/>
      <c r="Z77" s="2"/>
      <c r="AA77" s="2"/>
      <c r="AB77" s="2"/>
      <c r="AC77" s="2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10"/>
      <c r="U78" s="10"/>
      <c r="V78" s="8"/>
      <c r="W78" s="8"/>
      <c r="X78" s="8"/>
      <c r="Y78" s="8"/>
      <c r="Z78" s="8"/>
      <c r="AA78" s="8"/>
      <c r="AB78" s="8"/>
      <c r="AC78" s="8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9"/>
      <c r="U79" s="9"/>
      <c r="V79" s="2"/>
      <c r="W79" s="2"/>
      <c r="X79" s="2"/>
      <c r="Y79" s="2"/>
      <c r="Z79" s="2"/>
      <c r="AA79" s="2"/>
      <c r="AB79" s="2"/>
      <c r="AC79" s="2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10"/>
      <c r="U80" s="10"/>
      <c r="V80" s="8"/>
      <c r="W80" s="8"/>
      <c r="X80" s="8"/>
      <c r="Y80" s="8"/>
      <c r="Z80" s="8"/>
      <c r="AA80" s="8"/>
      <c r="AB80" s="8"/>
      <c r="AC80" s="11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9"/>
      <c r="U81" s="9"/>
      <c r="V81" s="2"/>
      <c r="W81" s="2"/>
      <c r="X81" s="2"/>
      <c r="Y81" s="2"/>
      <c r="Z81" s="2"/>
      <c r="AA81" s="2"/>
      <c r="AB81" s="2"/>
      <c r="AC81" s="2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10"/>
      <c r="U82" s="10"/>
      <c r="V82" s="8"/>
      <c r="W82" s="8"/>
      <c r="X82" s="8"/>
      <c r="Y82" s="8"/>
      <c r="Z82" s="8"/>
      <c r="AA82" s="8"/>
      <c r="AB82" s="8"/>
      <c r="AC82" s="8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9"/>
      <c r="U83" s="9"/>
      <c r="V83" s="2"/>
      <c r="W83" s="2"/>
      <c r="X83" s="2"/>
      <c r="Y83" s="2"/>
      <c r="Z83" s="2"/>
      <c r="AA83" s="2"/>
      <c r="AB83" s="2"/>
      <c r="AC83" s="2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10"/>
      <c r="U84" s="10"/>
      <c r="V84" s="8"/>
      <c r="W84" s="8"/>
      <c r="X84" s="8"/>
      <c r="Y84" s="8"/>
      <c r="Z84" s="8"/>
      <c r="AA84" s="8"/>
      <c r="AB84" s="8"/>
      <c r="AC84" s="8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9"/>
      <c r="U85" s="9"/>
      <c r="V85" s="2"/>
      <c r="W85" s="2"/>
      <c r="X85" s="2"/>
      <c r="Y85" s="2"/>
      <c r="Z85" s="2"/>
      <c r="AA85" s="2"/>
      <c r="AB85" s="2"/>
      <c r="AC85" s="2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10"/>
      <c r="U86" s="10"/>
      <c r="V86" s="8"/>
      <c r="W86" s="8"/>
      <c r="X86" s="8"/>
      <c r="Y86" s="8"/>
      <c r="Z86" s="8"/>
      <c r="AA86" s="8"/>
      <c r="AB86" s="8"/>
      <c r="AC86" s="8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9"/>
      <c r="U87" s="9"/>
      <c r="V87" s="2"/>
      <c r="W87" s="2"/>
      <c r="X87" s="2"/>
      <c r="Y87" s="2"/>
      <c r="Z87" s="2"/>
      <c r="AA87" s="2"/>
      <c r="AB87" s="2"/>
      <c r="AC87" s="2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10"/>
      <c r="U88" s="10"/>
      <c r="V88" s="8"/>
      <c r="W88" s="8"/>
      <c r="X88" s="8"/>
      <c r="Y88" s="8"/>
      <c r="Z88" s="8"/>
      <c r="AA88" s="8"/>
      <c r="AB88" s="8"/>
      <c r="AC88" s="8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9"/>
      <c r="U89" s="9"/>
      <c r="V89" s="2"/>
      <c r="W89" s="2"/>
      <c r="X89" s="2"/>
      <c r="Y89" s="2"/>
      <c r="Z89" s="2"/>
      <c r="AA89" s="2"/>
      <c r="AB89" s="2"/>
      <c r="AC89" s="2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10"/>
      <c r="U90" s="10"/>
      <c r="V90" s="8"/>
      <c r="W90" s="8"/>
      <c r="X90" s="8"/>
      <c r="Y90" s="8"/>
      <c r="Z90" s="8"/>
      <c r="AA90" s="8"/>
      <c r="AB90" s="8"/>
      <c r="AC90" s="8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9"/>
      <c r="U91" s="9"/>
      <c r="V91" s="2"/>
      <c r="W91" s="2"/>
      <c r="X91" s="2"/>
      <c r="Y91" s="2"/>
      <c r="Z91" s="2"/>
      <c r="AA91" s="2"/>
      <c r="AB91" s="2"/>
      <c r="AC91" s="2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10"/>
      <c r="U92" s="10"/>
      <c r="V92" s="8"/>
      <c r="W92" s="8"/>
      <c r="X92" s="8"/>
      <c r="Y92" s="8"/>
      <c r="Z92" s="8"/>
      <c r="AA92" s="8"/>
      <c r="AB92" s="8"/>
      <c r="AC92" s="8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9"/>
      <c r="U93" s="9"/>
      <c r="V93" s="2"/>
      <c r="W93" s="2"/>
      <c r="X93" s="2"/>
      <c r="Y93" s="2"/>
      <c r="Z93" s="2"/>
      <c r="AA93" s="2"/>
      <c r="AB93" s="2"/>
      <c r="AC93" s="2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10"/>
      <c r="U94" s="10"/>
      <c r="V94" s="8"/>
      <c r="W94" s="8"/>
      <c r="X94" s="8"/>
      <c r="Y94" s="8"/>
      <c r="Z94" s="8"/>
      <c r="AA94" s="8"/>
      <c r="AB94" s="8"/>
      <c r="AC94" s="8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9"/>
      <c r="U95" s="9"/>
      <c r="V95" s="2"/>
      <c r="W95" s="2"/>
      <c r="X95" s="2"/>
      <c r="Y95" s="2"/>
      <c r="Z95" s="2"/>
      <c r="AA95" s="2"/>
      <c r="AB95" s="2"/>
      <c r="AC95" s="2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10"/>
      <c r="U96" s="10"/>
      <c r="V96" s="8"/>
      <c r="W96" s="8"/>
      <c r="X96" s="8"/>
      <c r="Y96" s="8"/>
      <c r="Z96" s="8"/>
      <c r="AA96" s="8"/>
      <c r="AB96" s="8"/>
      <c r="AC96" s="8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9"/>
      <c r="U97" s="9"/>
      <c r="V97" s="2"/>
      <c r="W97" s="2"/>
      <c r="X97" s="2"/>
      <c r="Y97" s="2"/>
      <c r="Z97" s="2"/>
      <c r="AA97" s="2"/>
      <c r="AB97" s="2"/>
      <c r="AC97" s="2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10"/>
      <c r="U98" s="10"/>
      <c r="V98" s="8"/>
      <c r="W98" s="8"/>
      <c r="X98" s="8"/>
      <c r="Y98" s="8"/>
      <c r="Z98" s="8"/>
      <c r="AA98" s="8"/>
      <c r="AB98" s="8"/>
      <c r="AC98" s="8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9"/>
      <c r="U99" s="9"/>
      <c r="V99" s="2"/>
      <c r="W99" s="2"/>
      <c r="X99" s="2"/>
      <c r="Y99" s="2"/>
      <c r="Z99" s="2"/>
      <c r="AA99" s="2"/>
      <c r="AB99" s="2"/>
      <c r="AC99" s="2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10"/>
      <c r="U100" s="10"/>
      <c r="V100" s="8"/>
      <c r="W100" s="8"/>
      <c r="X100" s="8"/>
      <c r="Y100" s="8"/>
      <c r="Z100" s="8"/>
      <c r="AA100" s="8"/>
      <c r="AB100" s="8"/>
      <c r="AC100" s="8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9"/>
      <c r="U101" s="9"/>
      <c r="V101" s="2"/>
      <c r="W101" s="2"/>
      <c r="X101" s="2"/>
      <c r="Y101" s="2"/>
      <c r="Z101" s="2"/>
      <c r="AA101" s="2"/>
      <c r="AB101" s="2"/>
      <c r="AC101" s="2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10"/>
      <c r="U102" s="10"/>
      <c r="V102" s="8"/>
      <c r="W102" s="8"/>
      <c r="X102" s="8"/>
      <c r="Y102" s="8"/>
      <c r="Z102" s="8"/>
      <c r="AA102" s="8"/>
      <c r="AB102" s="8"/>
      <c r="AC102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1"/>
    <hyperlink r:id="rId10" ref="C12"/>
    <hyperlink r:id="rId11" ref="C13"/>
    <hyperlink r:id="rId12" ref="C14"/>
    <hyperlink r:id="rId13" ref="C16"/>
    <hyperlink r:id="rId14" ref="C18"/>
    <hyperlink r:id="rId15" ref="C19"/>
    <hyperlink r:id="rId16" ref="C21"/>
    <hyperlink r:id="rId17" ref="C23"/>
    <hyperlink r:id="rId18" ref="C24"/>
    <hyperlink r:id="rId19" ref="C25"/>
    <hyperlink r:id="rId20" ref="C26"/>
  </hyperlinks>
  <drawing r:id="rId21"/>
</worksheet>
</file>